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75411\Desktop\【全社標準】弔事対応フォルダ\2. RPAブック\"/>
    </mc:Choice>
  </mc:AlternateContent>
  <xr:revisionPtr revIDLastSave="0" documentId="8_{E5B1EA86-DF41-479D-B8A7-F65EA316A048}" xr6:coauthVersionLast="47" xr6:coauthVersionMax="47" xr10:uidLastSave="{00000000-0000-0000-0000-000000000000}"/>
  <bookViews>
    <workbookView xWindow="780" yWindow="780" windowWidth="18000" windowHeight="9270" xr2:uid="{A9894B52-3C21-425F-9F8B-E3320E2B5632}"/>
  </bookViews>
  <sheets>
    <sheet name="弔事連絡票" sheetId="1" r:id="rId1"/>
  </sheets>
  <externalReferences>
    <externalReference r:id="rId2"/>
    <externalReference r:id="rId3"/>
    <externalReference r:id="rId4"/>
  </externalReferences>
  <definedNames>
    <definedName name="_56F9DC9755BA473782653E2940F9FormId">"1vVjSGBHiUW-nEL4LgdXObOb_9F5luNFuB_uHVHrmK9UOEdPWTdNTjJMWTFFVEZQSkFEWFFITkJFQSQlQCN0PWcu"</definedName>
    <definedName name="_56F9DC9755BA473782653E2940F9ResponseSheet">"Form1"</definedName>
    <definedName name="_56F9DC9755BA473782653E2940F9SourceDocId">"{04e78e47-7cd4-4c90-9a55-3d1d32e56ba2}"</definedName>
    <definedName name="【必須】弔事連絡">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①" localSheetId="0">弔事連絡票!$AD$31:$AF$31</definedName>
    <definedName name="①">#REF!</definedName>
    <definedName name="②" localSheetId="0">弔事連絡票!$AD$32:$AF$32</definedName>
    <definedName name="②">#REF!</definedName>
    <definedName name="③" localSheetId="0">弔事連絡票!$AD$33:$AF$33</definedName>
    <definedName name="③">#REF!</definedName>
    <definedName name="④">弔事連絡票!$AD$34:$AF$34</definedName>
    <definedName name="⑤">弔事連絡票!$AD$35:$AF$35</definedName>
    <definedName name="⑥">弔事連絡票!$AD$36:$AF$36</definedName>
    <definedName name="addSemicolon" comment=";を最後に足す関数">_xlfn.LAMBDA(_xlpm.x,    IF(_xlpm.x="","",       IF(RIGHT(_xlpm.x,1)="】",_xlpm.x,          IF(RIGHT(_xlpm.x,1)=";",_xlpm.x,_xlpm.x&amp;";"))))</definedName>
    <definedName name="_xlnm.Print_Area" localSheetId="0">弔事連絡票!$A$15:$Q$71</definedName>
    <definedName name="Print_Area_MI">#REF!</definedName>
    <definedName name="あ">#REF!</definedName>
    <definedName name="ソリューションエンジニアリング本部">弔事連絡票!$X$33:$X$35</definedName>
    <definedName name="パナソニック_オペレーショナルエクセレンス㈱">#REF!</definedName>
    <definedName name="パナソニックホールディングス㈱">#REF!</definedName>
    <definedName name="マーケティング本部">弔事連絡票!$Z$33:$Z$35</definedName>
    <definedName name="ライティング事業部">弔事連絡票!$U$33:$U$35</definedName>
    <definedName name="開始_日" localSheetId="0">'[3]1'!$AD$24</definedName>
    <definedName name="開始_日">#REF!</definedName>
    <definedName name="社員一覧">#REF!</definedName>
    <definedName name="対応者">#REF!</definedName>
    <definedName name="弔電供花一般">#REF!</definedName>
    <definedName name="直轄部門">弔事連絡票!$V$33:$V$35</definedName>
    <definedName name="必須">#REF!,#REF!,#REF!,#REF!,#REF!,#REF!,#REF!,#REF!,#REF!,#REF!,#REF!,#REF!,#REF!,#REF!,#REF!,#REF!,#REF!,#REF!,#REF!,#REF!,#REF!,#REF!,#REF!,#REF!,#REF!,#REF!,#REF!,#REF!,#REF!,#REF!,#REF!,#REF!,#REF!,#REF!,#REF!,#REF!,#REF!,#REF!,#REF!,#REF!,#REF!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D71" i="1"/>
  <c r="E61" i="1"/>
  <c r="E60" i="1"/>
  <c r="E59" i="1"/>
  <c r="E58" i="1"/>
  <c r="O57" i="1"/>
  <c r="J57" i="1"/>
  <c r="E57" i="1"/>
  <c r="AC30" i="1"/>
</calcChain>
</file>

<file path=xl/sharedStrings.xml><?xml version="1.0" encoding="utf-8"?>
<sst xmlns="http://schemas.openxmlformats.org/spreadsheetml/2006/main" count="167" uniqueCount="123">
  <si>
    <t>【平日、土日祝　共用】</t>
    <rPh sb="4" eb="7">
      <t>ドニチシュク</t>
    </rPh>
    <rPh sb="8" eb="9">
      <t>キョウ</t>
    </rPh>
    <phoneticPr fontId="5"/>
  </si>
  <si>
    <t>phr2307_00</t>
    <phoneticPr fontId="5"/>
  </si>
  <si>
    <t>※弔事連絡専用アドレスに送信　→</t>
    <phoneticPr fontId="5"/>
  </si>
  <si>
    <t>ew-chouji@ml.jp.panasonic.com</t>
    <phoneticPr fontId="5"/>
  </si>
  <si>
    <t>（注意1）</t>
    <phoneticPr fontId="5"/>
  </si>
  <si>
    <t>当日受付時間 9：00～17：30まで。以降は翌日対応となります。</t>
    <phoneticPr fontId="5"/>
  </si>
  <si>
    <r>
      <t>また、下記期間中は受付のみとなり、</t>
    </r>
    <r>
      <rPr>
        <b/>
        <sz val="11"/>
        <color rgb="FFFF0000"/>
        <rFont val="Meiryo UI"/>
        <family val="3"/>
        <charset val="128"/>
      </rPr>
      <t>弔電・供花の即日手配は承っておりません。</t>
    </r>
    <rPh sb="3" eb="5">
      <t>カキ</t>
    </rPh>
    <rPh sb="5" eb="7">
      <t>キカン</t>
    </rPh>
    <rPh sb="7" eb="8">
      <t>チュウ</t>
    </rPh>
    <rPh sb="9" eb="11">
      <t>ウケツケ</t>
    </rPh>
    <rPh sb="17" eb="19">
      <t>チョウデン</t>
    </rPh>
    <rPh sb="20" eb="22">
      <t>キョウカ</t>
    </rPh>
    <rPh sb="23" eb="25">
      <t>ソクジツ</t>
    </rPh>
    <rPh sb="25" eb="27">
      <t>テハイ</t>
    </rPh>
    <rPh sb="28" eb="29">
      <t>ウケタマワ</t>
    </rPh>
    <phoneticPr fontId="5"/>
  </si>
  <si>
    <t>年末休止期間：12月30日～1月3日</t>
    <rPh sb="0" eb="2">
      <t>ネンマツ</t>
    </rPh>
    <rPh sb="2" eb="4">
      <t>キュウシ</t>
    </rPh>
    <rPh sb="4" eb="6">
      <t>キカン</t>
    </rPh>
    <rPh sb="9" eb="10">
      <t>ガツ</t>
    </rPh>
    <rPh sb="12" eb="13">
      <t>ニチ</t>
    </rPh>
    <rPh sb="15" eb="16">
      <t>ガツ</t>
    </rPh>
    <rPh sb="17" eb="18">
      <t>ニチ</t>
    </rPh>
    <phoneticPr fontId="5"/>
  </si>
  <si>
    <t>弔電・供花のお届けは1月4日以降となります。</t>
    <rPh sb="3" eb="5">
      <t>キョウカ</t>
    </rPh>
    <phoneticPr fontId="5"/>
  </si>
  <si>
    <t>（注意2）</t>
    <rPh sb="1" eb="3">
      <t>チュウイ</t>
    </rPh>
    <phoneticPr fontId="5"/>
  </si>
  <si>
    <t>電話連絡は不要。緊急の場合のみ、下記へ連絡。</t>
    <phoneticPr fontId="5"/>
  </si>
  <si>
    <t>平日、休日、休暇（含む長期休暇）：090-9806-1751</t>
    <phoneticPr fontId="5"/>
  </si>
  <si>
    <t>（注意3）</t>
    <rPh sb="1" eb="3">
      <t>チュウイ</t>
    </rPh>
    <phoneticPr fontId="5"/>
  </si>
  <si>
    <t>出向者は出向元（在籍元）による対応となります。</t>
    <rPh sb="4" eb="7">
      <t>シュッコウモト</t>
    </rPh>
    <phoneticPr fontId="5"/>
  </si>
  <si>
    <t>（注意4）</t>
    <rPh sb="1" eb="3">
      <t>チュウイ</t>
    </rPh>
    <phoneticPr fontId="5"/>
  </si>
  <si>
    <r>
      <rPr>
        <b/>
        <sz val="11"/>
        <color rgb="FFFF0000"/>
        <rFont val="Meiryo UI"/>
        <family val="3"/>
        <charset val="128"/>
      </rPr>
      <t>オレンジ色のセル</t>
    </r>
    <r>
      <rPr>
        <sz val="11"/>
        <color rgb="FFFF0000"/>
        <rFont val="Meiryo UI"/>
        <family val="3"/>
        <charset val="128"/>
      </rPr>
      <t>は</t>
    </r>
    <r>
      <rPr>
        <b/>
        <sz val="11"/>
        <color rgb="FFFF0000"/>
        <rFont val="Meiryo UI"/>
        <family val="3"/>
        <charset val="128"/>
      </rPr>
      <t>入力必須項目</t>
    </r>
    <r>
      <rPr>
        <sz val="11"/>
        <color rgb="FFFF0000"/>
        <rFont val="Meiryo UI"/>
        <family val="3"/>
        <charset val="128"/>
      </rPr>
      <t>となっております。</t>
    </r>
    <rPh sb="4" eb="5">
      <t>イロ</t>
    </rPh>
    <rPh sb="9" eb="15">
      <t>ニュウリョクヒッスコウモク</t>
    </rPh>
    <phoneticPr fontId="5"/>
  </si>
  <si>
    <t>（注意5）</t>
    <rPh sb="1" eb="3">
      <t>チュウイ</t>
    </rPh>
    <phoneticPr fontId="5"/>
  </si>
  <si>
    <t>提出された弔事連絡票に基づいて対応しますので、入力・選択間違いの無い様、お願いします。</t>
    <rPh sb="26" eb="28">
      <t>センタク</t>
    </rPh>
    <rPh sb="32" eb="33">
      <t>ナ</t>
    </rPh>
    <rPh sb="34" eb="35">
      <t>ヨウ</t>
    </rPh>
    <phoneticPr fontId="5"/>
  </si>
  <si>
    <t>等級群、組合支部、従業員との関係などの間違いが多く見受けられますので、送信前にご確認お願いします。　</t>
    <phoneticPr fontId="5"/>
  </si>
  <si>
    <t>弔　事　連　絡　票</t>
    <rPh sb="0" eb="1">
      <t>チョウ</t>
    </rPh>
    <rPh sb="2" eb="3">
      <t>コト</t>
    </rPh>
    <rPh sb="4" eb="5">
      <t>レン</t>
    </rPh>
    <rPh sb="6" eb="7">
      <t>ラク</t>
    </rPh>
    <rPh sb="8" eb="9">
      <t>ヒョウ</t>
    </rPh>
    <phoneticPr fontId="5"/>
  </si>
  <si>
    <t>提出日</t>
    <rPh sb="0" eb="3">
      <t>テイシュツビ</t>
    </rPh>
    <phoneticPr fontId="5"/>
  </si>
  <si>
    <t>年</t>
    <rPh sb="0" eb="1">
      <t>ネン</t>
    </rPh>
    <phoneticPr fontId="5"/>
  </si>
  <si>
    <t>月</t>
    <rPh sb="0" eb="1">
      <t>ツキ</t>
    </rPh>
    <phoneticPr fontId="5"/>
  </si>
  <si>
    <t>日</t>
    <rPh sb="0" eb="1">
      <t>ヒ</t>
    </rPh>
    <phoneticPr fontId="5"/>
  </si>
  <si>
    <r>
      <rPr>
        <b/>
        <sz val="11"/>
        <color rgb="FFFF0000"/>
        <rFont val="Meiryo UI"/>
        <family val="3"/>
        <charset val="128"/>
      </rPr>
      <t>会社、組合、個人(職場)</t>
    </r>
    <r>
      <rPr>
        <b/>
        <sz val="11"/>
        <rFont val="Meiryo UI"/>
        <family val="3"/>
        <charset val="128"/>
      </rPr>
      <t xml:space="preserve">からの
</t>
    </r>
    <r>
      <rPr>
        <b/>
        <u/>
        <sz val="11"/>
        <color rgb="FFFF0000"/>
        <rFont val="Meiryo UI"/>
        <family val="3"/>
        <charset val="128"/>
      </rPr>
      <t>弔電手配</t>
    </r>
    <rPh sb="0" eb="2">
      <t>カイシャ</t>
    </rPh>
    <rPh sb="3" eb="5">
      <t>クミアイ</t>
    </rPh>
    <rPh sb="6" eb="8">
      <t>コジン</t>
    </rPh>
    <rPh sb="9" eb="11">
      <t>ショクバ</t>
    </rPh>
    <rPh sb="16" eb="18">
      <t>チョウデン</t>
    </rPh>
    <rPh sb="18" eb="20">
      <t>テハイ</t>
    </rPh>
    <phoneticPr fontId="5"/>
  </si>
  <si>
    <t>会社/組合/個人(職場)から全て辞退</t>
  </si>
  <si>
    <t>弔問(参列)</t>
    <rPh sb="0" eb="2">
      <t>チョウモン</t>
    </rPh>
    <rPh sb="3" eb="5">
      <t>サンレツ</t>
    </rPh>
    <phoneticPr fontId="5"/>
  </si>
  <si>
    <r>
      <rPr>
        <b/>
        <sz val="11"/>
        <color rgb="FFFF0000"/>
        <rFont val="Meiryo UI"/>
        <family val="3"/>
        <charset val="128"/>
      </rPr>
      <t>会社、組合、個人(職場)</t>
    </r>
    <r>
      <rPr>
        <b/>
        <sz val="11"/>
        <rFont val="Meiryo UI"/>
        <family val="3"/>
        <charset val="128"/>
      </rPr>
      <t xml:space="preserve">からの
</t>
    </r>
    <r>
      <rPr>
        <b/>
        <u/>
        <sz val="11"/>
        <color rgb="FFFF0000"/>
        <rFont val="Meiryo UI"/>
        <family val="3"/>
        <charset val="128"/>
      </rPr>
      <t>供花手配</t>
    </r>
    <rPh sb="0" eb="2">
      <t>カイシャ</t>
    </rPh>
    <rPh sb="3" eb="5">
      <t>クミアイ</t>
    </rPh>
    <rPh sb="6" eb="8">
      <t>コジン</t>
    </rPh>
    <rPh sb="9" eb="11">
      <t>ショクバ</t>
    </rPh>
    <rPh sb="16" eb="18">
      <t>キョウカ</t>
    </rPh>
    <rPh sb="18" eb="20">
      <t>テハイ</t>
    </rPh>
    <phoneticPr fontId="5"/>
  </si>
  <si>
    <r>
      <rPr>
        <b/>
        <sz val="11"/>
        <color rgb="FFFF0000"/>
        <rFont val="Meiryo UI"/>
        <family val="3"/>
        <charset val="128"/>
      </rPr>
      <t>個人(職場)</t>
    </r>
    <r>
      <rPr>
        <b/>
        <sz val="11"/>
        <rFont val="Meiryo UI"/>
        <family val="3"/>
        <charset val="128"/>
      </rPr>
      <t>からの</t>
    </r>
    <r>
      <rPr>
        <b/>
        <u/>
        <sz val="11"/>
        <color rgb="FFFF0000"/>
        <rFont val="Meiryo UI"/>
        <family val="3"/>
        <charset val="128"/>
      </rPr>
      <t>御香典</t>
    </r>
    <rPh sb="9" eb="12">
      <t>ゴコウデン</t>
    </rPh>
    <phoneticPr fontId="5"/>
  </si>
  <si>
    <t>可</t>
  </si>
  <si>
    <t>フリガナ</t>
    <phoneticPr fontId="5"/>
  </si>
  <si>
    <t>ｶﾜﾊﾗ　ﾂﾖｼ</t>
    <phoneticPr fontId="5"/>
  </si>
  <si>
    <t>PINナンバー</t>
    <phoneticPr fontId="5"/>
  </si>
  <si>
    <t>従業員氏名</t>
    <rPh sb="0" eb="5">
      <t>ジュウギョウインシメイ</t>
    </rPh>
    <phoneticPr fontId="5"/>
  </si>
  <si>
    <t>川原　剛</t>
    <rPh sb="0" eb="2">
      <t>カワハラ</t>
    </rPh>
    <rPh sb="3" eb="4">
      <t>ツヨシ</t>
    </rPh>
    <phoneticPr fontId="5"/>
  </si>
  <si>
    <t>ご本人連絡先電話番号
（土日祝用）</t>
    <rPh sb="12" eb="13">
      <t>ド</t>
    </rPh>
    <rPh sb="14" eb="15">
      <t>シュク</t>
    </rPh>
    <phoneticPr fontId="5"/>
  </si>
  <si>
    <t>090-4055-2591</t>
    <phoneticPr fontId="5"/>
  </si>
  <si>
    <t>＊連絡先電話番号については、平日の場合は、入力不要です。</t>
    <rPh sb="1" eb="4">
      <t>レンラクサキ</t>
    </rPh>
    <rPh sb="4" eb="8">
      <t>デンワバンゴウ</t>
    </rPh>
    <rPh sb="14" eb="16">
      <t>ヘイジツ</t>
    </rPh>
    <rPh sb="17" eb="19">
      <t>バアイ</t>
    </rPh>
    <rPh sb="21" eb="23">
      <t>ニュウリョク</t>
    </rPh>
    <rPh sb="23" eb="25">
      <t>フヨウ</t>
    </rPh>
    <phoneticPr fontId="5"/>
  </si>
  <si>
    <t>＊土日祝日の場合、弔事担当より確認の電話をさせていただく場合があります。</t>
    <rPh sb="1" eb="4">
      <t>ドニチシュク</t>
    </rPh>
    <rPh sb="4" eb="5">
      <t>ヒ</t>
    </rPh>
    <phoneticPr fontId="5"/>
  </si>
  <si>
    <t>■在籍事業場</t>
    <rPh sb="1" eb="3">
      <t>ザイセキ</t>
    </rPh>
    <rPh sb="3" eb="6">
      <t>ジギョウジョウ</t>
    </rPh>
    <phoneticPr fontId="5"/>
  </si>
  <si>
    <t>在籍事業場</t>
    <rPh sb="0" eb="2">
      <t>ザイセキ</t>
    </rPh>
    <rPh sb="2" eb="5">
      <t>ジギョウジョウ</t>
    </rPh>
    <phoneticPr fontId="5"/>
  </si>
  <si>
    <t>マーケティング本部</t>
  </si>
  <si>
    <t>選択内容⇒</t>
    <rPh sb="0" eb="2">
      <t>センタク</t>
    </rPh>
    <rPh sb="2" eb="4">
      <t>ナイヨウ</t>
    </rPh>
    <phoneticPr fontId="5"/>
  </si>
  <si>
    <t>勤務地（AD列～AF列）を名前をAC列の名前で設定</t>
    <rPh sb="0" eb="3">
      <t>キンムチ</t>
    </rPh>
    <rPh sb="6" eb="7">
      <t>レツ</t>
    </rPh>
    <rPh sb="10" eb="11">
      <t>レツ</t>
    </rPh>
    <rPh sb="13" eb="15">
      <t>ナマエ</t>
    </rPh>
    <rPh sb="18" eb="19">
      <t>レツ</t>
    </rPh>
    <rPh sb="20" eb="22">
      <t>ナマエ</t>
    </rPh>
    <rPh sb="23" eb="25">
      <t>セッテイ</t>
    </rPh>
    <phoneticPr fontId="5"/>
  </si>
  <si>
    <t>等級群</t>
    <rPh sb="0" eb="3">
      <t>トウキュウグン</t>
    </rPh>
    <phoneticPr fontId="5"/>
  </si>
  <si>
    <t>主務職</t>
  </si>
  <si>
    <t>所属部署</t>
    <rPh sb="0" eb="2">
      <t>ショゾク</t>
    </rPh>
    <rPh sb="2" eb="4">
      <t>ブショ</t>
    </rPh>
    <phoneticPr fontId="5"/>
  </si>
  <si>
    <t>岡崎電材営業所</t>
    <rPh sb="0" eb="7">
      <t>オカザキデンザイエイギョウショ</t>
    </rPh>
    <phoneticPr fontId="5"/>
  </si>
  <si>
    <t>ライティング事業部</t>
    <rPh sb="6" eb="9">
      <t>ジギョウブ</t>
    </rPh>
    <phoneticPr fontId="5"/>
  </si>
  <si>
    <t>①</t>
    <phoneticPr fontId="5"/>
  </si>
  <si>
    <t>新潟工場</t>
    <rPh sb="0" eb="4">
      <t>ニイガタコウジョウ</t>
    </rPh>
    <phoneticPr fontId="5"/>
  </si>
  <si>
    <t>その他（新潟工場以外）</t>
    <rPh sb="2" eb="3">
      <t>タ</t>
    </rPh>
    <rPh sb="4" eb="6">
      <t>ニイガタ</t>
    </rPh>
    <rPh sb="6" eb="8">
      <t>コウジョウ</t>
    </rPh>
    <rPh sb="8" eb="10">
      <t>イガイ</t>
    </rPh>
    <phoneticPr fontId="5"/>
  </si>
  <si>
    <t>直轄部門</t>
    <rPh sb="0" eb="4">
      <t>チョッカツブモン</t>
    </rPh>
    <phoneticPr fontId="5"/>
  </si>
  <si>
    <t>②</t>
    <phoneticPr fontId="5"/>
  </si>
  <si>
    <t>門真</t>
    <rPh sb="0" eb="2">
      <t>カドマ</t>
    </rPh>
    <phoneticPr fontId="5"/>
  </si>
  <si>
    <t>汐留</t>
    <rPh sb="0" eb="2">
      <t>シオドメ</t>
    </rPh>
    <phoneticPr fontId="5"/>
  </si>
  <si>
    <t>組合区分</t>
    <rPh sb="0" eb="4">
      <t>クミアイクブン</t>
    </rPh>
    <phoneticPr fontId="5"/>
  </si>
  <si>
    <t>組合</t>
  </si>
  <si>
    <t>勤務地</t>
    <phoneticPr fontId="5"/>
  </si>
  <si>
    <t>愛知県岡崎市</t>
    <rPh sb="0" eb="3">
      <t>アイチケン</t>
    </rPh>
    <rPh sb="3" eb="6">
      <t>オカザキシ</t>
    </rPh>
    <phoneticPr fontId="5"/>
  </si>
  <si>
    <t>技術部門(品質・知財含む）</t>
    <phoneticPr fontId="5"/>
  </si>
  <si>
    <t>③</t>
    <phoneticPr fontId="5"/>
  </si>
  <si>
    <t>ソリューションエンジニアリング本部</t>
    <rPh sb="15" eb="17">
      <t>ホンブ</t>
    </rPh>
    <phoneticPr fontId="5"/>
  </si>
  <si>
    <t>④</t>
    <phoneticPr fontId="5"/>
  </si>
  <si>
    <t>電材＆くらしエネルギー事業部</t>
    <rPh sb="0" eb="2">
      <t>デンザイ</t>
    </rPh>
    <rPh sb="11" eb="14">
      <t>ジギョウブ</t>
    </rPh>
    <phoneticPr fontId="5"/>
  </si>
  <si>
    <t>⑤</t>
    <phoneticPr fontId="5"/>
  </si>
  <si>
    <t>ｶﾜﾊﾗ　ｼｮｳｲﾁ</t>
    <phoneticPr fontId="5"/>
  </si>
  <si>
    <t>従業員
との関係</t>
    <rPh sb="0" eb="3">
      <t>ジュウギョウイン</t>
    </rPh>
    <rPh sb="6" eb="8">
      <t>カンケイ</t>
    </rPh>
    <phoneticPr fontId="5"/>
  </si>
  <si>
    <t>血族／姻族</t>
    <phoneticPr fontId="5"/>
  </si>
  <si>
    <t>血族</t>
  </si>
  <si>
    <t>マーケティング本部</t>
    <rPh sb="7" eb="9">
      <t>ホンブ</t>
    </rPh>
    <phoneticPr fontId="5"/>
  </si>
  <si>
    <t>⑥</t>
    <phoneticPr fontId="5"/>
  </si>
  <si>
    <t>故人氏名</t>
    <rPh sb="0" eb="2">
      <t>コジン</t>
    </rPh>
    <rPh sb="2" eb="4">
      <t>シメイ</t>
    </rPh>
    <phoneticPr fontId="5"/>
  </si>
  <si>
    <t>川原　省一</t>
    <rPh sb="0" eb="2">
      <t>カワハラ</t>
    </rPh>
    <rPh sb="3" eb="5">
      <t>ショウイチ</t>
    </rPh>
    <phoneticPr fontId="5"/>
  </si>
  <si>
    <t>同居／別居</t>
    <phoneticPr fontId="5"/>
  </si>
  <si>
    <t>別居</t>
  </si>
  <si>
    <t>お亡くなりになられた日</t>
    <rPh sb="1" eb="2">
      <t>ナ</t>
    </rPh>
    <rPh sb="10" eb="11">
      <t>ヒ</t>
    </rPh>
    <phoneticPr fontId="5"/>
  </si>
  <si>
    <t>(金)</t>
  </si>
  <si>
    <t>曜日</t>
    <rPh sb="0" eb="2">
      <t>ヨウビ</t>
    </rPh>
    <phoneticPr fontId="5"/>
  </si>
  <si>
    <t>続柄</t>
    <phoneticPr fontId="5"/>
  </si>
  <si>
    <t>実父</t>
  </si>
  <si>
    <t>＊3項目すべて、選択入力願います。</t>
    <rPh sb="2" eb="4">
      <t>コウモク</t>
    </rPh>
    <rPh sb="8" eb="10">
      <t>センタク</t>
    </rPh>
    <rPh sb="10" eb="12">
      <t>ニュウリョク</t>
    </rPh>
    <rPh sb="12" eb="13">
      <t>ネガ</t>
    </rPh>
    <phoneticPr fontId="5"/>
  </si>
  <si>
    <t>家族・親族でパナソニック株式会社(各事業会社含む)に勤務されている方は、いらっしゃいますか？</t>
    <rPh sb="12" eb="16">
      <t>カブシキガイシャ</t>
    </rPh>
    <rPh sb="17" eb="18">
      <t>カク</t>
    </rPh>
    <rPh sb="18" eb="23">
      <t>ジギョウガイシャフク</t>
    </rPh>
    <rPh sb="33" eb="34">
      <t>カタ</t>
    </rPh>
    <phoneticPr fontId="5"/>
  </si>
  <si>
    <t>有／無</t>
    <rPh sb="0" eb="1">
      <t>ユウ</t>
    </rPh>
    <rPh sb="2" eb="3">
      <t>ム</t>
    </rPh>
    <phoneticPr fontId="5"/>
  </si>
  <si>
    <t>無</t>
  </si>
  <si>
    <t>＊有の場合、以下入力願います。</t>
    <rPh sb="1" eb="2">
      <t>ユウ</t>
    </rPh>
    <rPh sb="3" eb="5">
      <t>バアイ</t>
    </rPh>
    <rPh sb="6" eb="8">
      <t>イカ</t>
    </rPh>
    <rPh sb="8" eb="10">
      <t>ニュウリョク</t>
    </rPh>
    <rPh sb="10" eb="11">
      <t>ネガ</t>
    </rPh>
    <phoneticPr fontId="5"/>
  </si>
  <si>
    <t>従業員との続柄</t>
    <rPh sb="0" eb="3">
      <t>ジュウギョウイン</t>
    </rPh>
    <rPh sb="5" eb="7">
      <t>ゾクガラ</t>
    </rPh>
    <phoneticPr fontId="5"/>
  </si>
  <si>
    <t>役職</t>
    <rPh sb="0" eb="2">
      <t>ヤクショク</t>
    </rPh>
    <phoneticPr fontId="5"/>
  </si>
  <si>
    <t>所属会社、事業場</t>
    <rPh sb="0" eb="2">
      <t>ショゾク</t>
    </rPh>
    <rPh sb="2" eb="4">
      <t>カイシャ</t>
    </rPh>
    <rPh sb="5" eb="8">
      <t>ジギョウジョウ</t>
    </rPh>
    <phoneticPr fontId="5"/>
  </si>
  <si>
    <t>　▼葬儀</t>
    <rPh sb="2" eb="4">
      <t>ソウギ</t>
    </rPh>
    <phoneticPr fontId="5"/>
  </si>
  <si>
    <t>通夜</t>
    <rPh sb="0" eb="2">
      <t>ツヤ</t>
    </rPh>
    <phoneticPr fontId="5"/>
  </si>
  <si>
    <t>日時</t>
    <rPh sb="0" eb="2">
      <t>ニチジ</t>
    </rPh>
    <phoneticPr fontId="5"/>
  </si>
  <si>
    <t>(水)</t>
  </si>
  <si>
    <t>時</t>
    <rPh sb="0" eb="1">
      <t>ジ</t>
    </rPh>
    <phoneticPr fontId="5"/>
  </si>
  <si>
    <t>30</t>
  </si>
  <si>
    <t>分～</t>
    <rPh sb="0" eb="1">
      <t>フン</t>
    </rPh>
    <phoneticPr fontId="5"/>
  </si>
  <si>
    <t>住所</t>
    <rPh sb="0" eb="2">
      <t>ジュウショ</t>
    </rPh>
    <phoneticPr fontId="5"/>
  </si>
  <si>
    <t>〒</t>
    <phoneticPr fontId="5"/>
  </si>
  <si>
    <t>341-0025</t>
    <phoneticPr fontId="5"/>
  </si>
  <si>
    <t>電話番号</t>
    <rPh sb="0" eb="4">
      <t>デンワバンゴウ</t>
    </rPh>
    <phoneticPr fontId="5"/>
  </si>
  <si>
    <t>048-952-5885</t>
    <phoneticPr fontId="5"/>
  </si>
  <si>
    <t>FAX番号</t>
    <rPh sb="3" eb="5">
      <t>バンゴウ</t>
    </rPh>
    <phoneticPr fontId="5"/>
  </si>
  <si>
    <t>ｻｲﾀﾏｹﾝﾐｻﾄｼﾓﾀｲ</t>
    <phoneticPr fontId="5"/>
  </si>
  <si>
    <t>埼玉県三郷市茂田井１５</t>
    <rPh sb="0" eb="3">
      <t>サイタマケン</t>
    </rPh>
    <rPh sb="3" eb="6">
      <t>ミサトシ</t>
    </rPh>
    <rPh sb="6" eb="9">
      <t>モタイ</t>
    </rPh>
    <phoneticPr fontId="5"/>
  </si>
  <si>
    <t>式場名</t>
    <rPh sb="0" eb="2">
      <t>シキジョウ</t>
    </rPh>
    <rPh sb="2" eb="3">
      <t>メイ</t>
    </rPh>
    <phoneticPr fontId="5"/>
  </si>
  <si>
    <t>ﾐｻﾄｼｻｲｼﾞｮｳ</t>
    <phoneticPr fontId="5"/>
  </si>
  <si>
    <t>式場名</t>
    <rPh sb="0" eb="3">
      <t>シキジョウメイ</t>
    </rPh>
    <phoneticPr fontId="5"/>
  </si>
  <si>
    <t>三郷市斎場</t>
    <rPh sb="0" eb="3">
      <t>ミサトシ</t>
    </rPh>
    <rPh sb="3" eb="5">
      <t>サイジョウ</t>
    </rPh>
    <phoneticPr fontId="5"/>
  </si>
  <si>
    <t>告別式</t>
    <rPh sb="0" eb="3">
      <t>コクベツシキ</t>
    </rPh>
    <phoneticPr fontId="5"/>
  </si>
  <si>
    <t>告別式の情報について、お通夜と同一であれば、右欄をクリックし、チェックをしてください。
異なる場合は、右欄チェックは行わず、以下数式を無視し、直接情報入力をお願いします。</t>
    <rPh sb="0" eb="3">
      <t>コクベツシキ</t>
    </rPh>
    <rPh sb="4" eb="6">
      <t>ジョウホウ</t>
    </rPh>
    <rPh sb="12" eb="14">
      <t>ツヤ</t>
    </rPh>
    <rPh sb="15" eb="17">
      <t>ドウイツ</t>
    </rPh>
    <rPh sb="22" eb="24">
      <t>ウラン</t>
    </rPh>
    <rPh sb="44" eb="45">
      <t>コト</t>
    </rPh>
    <rPh sb="47" eb="49">
      <t>バアイ</t>
    </rPh>
    <rPh sb="51" eb="53">
      <t>ウラン</t>
    </rPh>
    <rPh sb="58" eb="59">
      <t>オコナ</t>
    </rPh>
    <rPh sb="62" eb="64">
      <t>イカ</t>
    </rPh>
    <rPh sb="64" eb="66">
      <t>スウシキ</t>
    </rPh>
    <rPh sb="67" eb="69">
      <t>ムシ</t>
    </rPh>
    <rPh sb="71" eb="77">
      <t>チョクセツジョウホウニュウリョク</t>
    </rPh>
    <rPh sb="79" eb="80">
      <t>ネガ</t>
    </rPh>
    <phoneticPr fontId="5"/>
  </si>
  <si>
    <t>→</t>
    <phoneticPr fontId="5"/>
  </si>
  <si>
    <t>実父</t>
    <rPh sb="0" eb="2">
      <t>ジップ</t>
    </rPh>
    <phoneticPr fontId="5"/>
  </si>
  <si>
    <t>喪主氏名</t>
    <rPh sb="0" eb="2">
      <t>モシュ</t>
    </rPh>
    <rPh sb="2" eb="4">
      <t>シメイ</t>
    </rPh>
    <phoneticPr fontId="5"/>
  </si>
  <si>
    <t>宗旨　　　※例）仏式</t>
    <rPh sb="0" eb="2">
      <t>シュウシ</t>
    </rPh>
    <rPh sb="6" eb="7">
      <t>レイ</t>
    </rPh>
    <rPh sb="8" eb="10">
      <t>ブッシキ</t>
    </rPh>
    <phoneticPr fontId="5"/>
  </si>
  <si>
    <t>仏式</t>
    <rPh sb="0" eb="2">
      <t>ブツシキ</t>
    </rPh>
    <phoneticPr fontId="5"/>
  </si>
  <si>
    <t>　▼特記事項等</t>
    <rPh sb="2" eb="6">
      <t>トッキジコウ</t>
    </rPh>
    <rPh sb="6" eb="7">
      <t>ナド</t>
    </rPh>
    <phoneticPr fontId="5"/>
  </si>
  <si>
    <t>特記事項</t>
    <rPh sb="0" eb="4">
      <t>トッキジコウ</t>
    </rPh>
    <phoneticPr fontId="5"/>
  </si>
  <si>
    <t>人事使用欄</t>
    <rPh sb="0" eb="2">
      <t>ジンジ</t>
    </rPh>
    <rPh sb="2" eb="5">
      <t>シヨウラン</t>
    </rPh>
    <phoneticPr fontId="5"/>
  </si>
  <si>
    <t>事業場決算コード</t>
    <rPh sb="0" eb="3">
      <t>ジギョウジョウ</t>
    </rPh>
    <rPh sb="3" eb="5">
      <t>ケッサン</t>
    </rPh>
    <phoneticPr fontId="5"/>
  </si>
  <si>
    <t>香典金額</t>
    <rPh sb="0" eb="4">
      <t>コウデンキンガク</t>
    </rPh>
    <phoneticPr fontId="5"/>
  </si>
  <si>
    <t>人事責任者</t>
    <rPh sb="0" eb="2">
      <t>ジンジ</t>
    </rPh>
    <rPh sb="2" eb="5">
      <t>セキニンシャ</t>
    </rPh>
    <phoneticPr fontId="5"/>
  </si>
  <si>
    <t>検印</t>
    <rPh sb="0" eb="2">
      <t>ケンイン</t>
    </rPh>
    <phoneticPr fontId="5"/>
  </si>
  <si>
    <t>担当者</t>
    <rPh sb="0" eb="3">
      <t>タントウシャ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</si>
</sst>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23" x14ac:knownFonts="1">
    <font>
      <sz val="11"/>
      <color theme="1"/>
      <name val="游ゴシック"/>
      <family val="2"/>
      <charset val="128"/>
      <scheme val="minor"/>
    </font>
    <font>
      <sz val="9"/>
      <color rgb="FF00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0" tint="-0.499984740745262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u/>
      <sz val="11"/>
      <color theme="10"/>
      <name val="游ゴシック"/>
      <family val="3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4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1"/>
      <name val="Meiryo UI"/>
      <family val="3"/>
      <charset val="128"/>
    </font>
    <font>
      <b/>
      <u/>
      <sz val="11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sz val="11"/>
      <color theme="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 applyAlignment="1">
      <alignment horizontal="right" vertical="center"/>
    </xf>
    <xf numFmtId="0" fontId="7" fillId="2" borderId="0" xfId="1" applyFont="1" applyFill="1">
      <alignment vertical="center"/>
    </xf>
    <xf numFmtId="0" fontId="3" fillId="2" borderId="0" xfId="1" applyFont="1" applyFill="1">
      <alignment vertical="center"/>
    </xf>
    <xf numFmtId="0" fontId="8" fillId="2" borderId="0" xfId="2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9" fillId="2" borderId="0" xfId="1" applyFont="1" applyFill="1">
      <alignment vertical="center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shrinkToFit="1"/>
    </xf>
    <xf numFmtId="0" fontId="12" fillId="0" borderId="3" xfId="1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shrinkToFit="1"/>
    </xf>
    <xf numFmtId="0" fontId="12" fillId="0" borderId="6" xfId="1" applyFont="1" applyBorder="1" applyAlignment="1">
      <alignment horizontal="center" vertical="center" shrinkToFit="1"/>
    </xf>
    <xf numFmtId="0" fontId="3" fillId="3" borderId="7" xfId="1" applyFont="1" applyFill="1" applyBorder="1" applyAlignment="1">
      <alignment horizontal="left" vertical="center" indent="1"/>
    </xf>
    <xf numFmtId="0" fontId="3" fillId="3" borderId="8" xfId="1" applyFont="1" applyFill="1" applyBorder="1" applyAlignment="1">
      <alignment horizontal="left" vertical="center" indent="1"/>
    </xf>
    <xf numFmtId="0" fontId="13" fillId="0" borderId="8" xfId="1" applyFont="1" applyBorder="1" applyAlignment="1">
      <alignment horizontal="center" vertical="center" shrinkToFit="1"/>
    </xf>
    <xf numFmtId="0" fontId="3" fillId="0" borderId="8" xfId="1" applyFont="1" applyBorder="1">
      <alignment vertical="center"/>
    </xf>
    <xf numFmtId="0" fontId="14" fillId="0" borderId="8" xfId="1" applyFont="1" applyBorder="1" applyAlignment="1">
      <alignment horizontal="center" vertical="center" shrinkToFit="1"/>
    </xf>
    <xf numFmtId="0" fontId="3" fillId="0" borderId="9" xfId="1" applyFont="1" applyBorder="1">
      <alignment vertical="center"/>
    </xf>
    <xf numFmtId="0" fontId="15" fillId="3" borderId="10" xfId="1" applyFont="1" applyFill="1" applyBorder="1" applyAlignment="1">
      <alignment horizontal="left" vertical="center" wrapText="1" shrinkToFit="1"/>
    </xf>
    <xf numFmtId="0" fontId="15" fillId="3" borderId="10" xfId="1" applyFont="1" applyFill="1" applyBorder="1" applyAlignment="1">
      <alignment horizontal="left" vertical="center" shrinkToFit="1"/>
    </xf>
    <xf numFmtId="0" fontId="13" fillId="0" borderId="7" xfId="1" applyFont="1" applyBorder="1" applyAlignment="1">
      <alignment horizontal="left" vertical="center" wrapText="1"/>
    </xf>
    <xf numFmtId="0" fontId="13" fillId="0" borderId="8" xfId="1" applyFont="1" applyBorder="1" applyAlignment="1">
      <alignment horizontal="left" vertical="center" wrapText="1"/>
    </xf>
    <xf numFmtId="0" fontId="13" fillId="0" borderId="9" xfId="1" applyFont="1" applyBorder="1" applyAlignment="1">
      <alignment horizontal="left" vertical="center" wrapText="1"/>
    </xf>
    <xf numFmtId="0" fontId="9" fillId="3" borderId="10" xfId="1" applyFont="1" applyFill="1" applyBorder="1" applyAlignment="1">
      <alignment horizontal="left" vertical="center" wrapText="1" shrinkToFit="1"/>
    </xf>
    <xf numFmtId="0" fontId="15" fillId="3" borderId="11" xfId="1" applyFont="1" applyFill="1" applyBorder="1" applyAlignment="1">
      <alignment horizontal="left" vertical="center" shrinkToFit="1"/>
    </xf>
    <xf numFmtId="0" fontId="15" fillId="3" borderId="12" xfId="1" applyFont="1" applyFill="1" applyBorder="1" applyAlignment="1">
      <alignment horizontal="left" vertical="center" shrinkToFit="1"/>
    </xf>
    <xf numFmtId="0" fontId="3" fillId="3" borderId="13" xfId="1" applyFont="1" applyFill="1" applyBorder="1" applyAlignment="1">
      <alignment horizontal="left" vertical="center" indent="1"/>
    </xf>
    <xf numFmtId="0" fontId="3" fillId="3" borderId="14" xfId="1" applyFont="1" applyFill="1" applyBorder="1" applyAlignment="1">
      <alignment horizontal="left" vertical="center" indent="1"/>
    </xf>
    <xf numFmtId="0" fontId="14" fillId="0" borderId="14" xfId="1" applyFont="1" applyBorder="1" applyAlignment="1">
      <alignment horizontal="left" vertical="center" indent="1" shrinkToFit="1"/>
    </xf>
    <xf numFmtId="0" fontId="14" fillId="0" borderId="8" xfId="1" applyFont="1" applyBorder="1" applyAlignment="1">
      <alignment horizontal="left" vertical="center" indent="1" shrinkToFit="1"/>
    </xf>
    <xf numFmtId="0" fontId="14" fillId="0" borderId="9" xfId="1" applyFont="1" applyBorder="1" applyAlignment="1">
      <alignment horizontal="left" vertical="center" indent="1" shrinkToFit="1"/>
    </xf>
    <xf numFmtId="0" fontId="3" fillId="3" borderId="11" xfId="1" applyFont="1" applyFill="1" applyBorder="1" applyAlignment="1">
      <alignment horizontal="left" vertical="center" indent="1"/>
    </xf>
    <xf numFmtId="0" fontId="3" fillId="3" borderId="12" xfId="1" applyFont="1" applyFill="1" applyBorder="1" applyAlignment="1">
      <alignment horizontal="left" vertical="center" indent="1"/>
    </xf>
    <xf numFmtId="0" fontId="14" fillId="0" borderId="15" xfId="1" applyFont="1" applyBorder="1" applyAlignment="1">
      <alignment horizontal="left" vertical="center" indent="1" shrinkToFit="1"/>
    </xf>
    <xf numFmtId="0" fontId="14" fillId="0" borderId="16" xfId="1" applyFont="1" applyBorder="1" applyAlignment="1">
      <alignment horizontal="left" vertical="center" indent="1" shrinkToFit="1"/>
    </xf>
    <xf numFmtId="0" fontId="3" fillId="3" borderId="11" xfId="1" applyFont="1" applyFill="1" applyBorder="1" applyAlignment="1">
      <alignment horizontal="left" vertical="center" wrapText="1" indent="1"/>
    </xf>
    <xf numFmtId="49" fontId="14" fillId="0" borderId="8" xfId="1" applyNumberFormat="1" applyFont="1" applyBorder="1" applyAlignment="1">
      <alignment horizontal="left" vertical="center" indent="1" shrinkToFit="1"/>
    </xf>
    <xf numFmtId="49" fontId="14" fillId="0" borderId="9" xfId="1" applyNumberFormat="1" applyFont="1" applyBorder="1" applyAlignment="1">
      <alignment horizontal="left" vertical="center" indent="1" shrinkToFit="1"/>
    </xf>
    <xf numFmtId="0" fontId="17" fillId="0" borderId="0" xfId="1" applyFont="1">
      <alignment vertical="center"/>
    </xf>
    <xf numFmtId="0" fontId="18" fillId="4" borderId="8" xfId="1" applyFont="1" applyFill="1" applyBorder="1" applyAlignment="1">
      <alignment horizontal="center" vertical="center" shrinkToFit="1"/>
    </xf>
    <xf numFmtId="0" fontId="18" fillId="4" borderId="9" xfId="1" applyFont="1" applyFill="1" applyBorder="1" applyAlignment="1">
      <alignment horizontal="center" vertical="center" shrinkToFit="1"/>
    </xf>
    <xf numFmtId="0" fontId="3" fillId="5" borderId="0" xfId="1" applyFont="1" applyFill="1">
      <alignment vertical="center"/>
    </xf>
    <xf numFmtId="0" fontId="13" fillId="0" borderId="8" xfId="1" applyFont="1" applyBorder="1" applyAlignment="1">
      <alignment horizontal="left" vertical="center" indent="1" shrinkToFit="1"/>
    </xf>
    <xf numFmtId="0" fontId="13" fillId="0" borderId="9" xfId="1" applyFont="1" applyBorder="1" applyAlignment="1">
      <alignment horizontal="left" vertical="center" indent="1" shrinkToFit="1"/>
    </xf>
    <xf numFmtId="0" fontId="14" fillId="0" borderId="8" xfId="1" applyFont="1" applyBorder="1" applyAlignment="1">
      <alignment horizontal="center" vertical="center" shrinkToFit="1"/>
    </xf>
    <xf numFmtId="0" fontId="14" fillId="0" borderId="9" xfId="1" applyFont="1" applyBorder="1" applyAlignment="1">
      <alignment horizontal="center" vertical="center" shrinkToFit="1"/>
    </xf>
    <xf numFmtId="0" fontId="3" fillId="6" borderId="0" xfId="1" applyFont="1" applyFill="1">
      <alignment vertical="center"/>
    </xf>
    <xf numFmtId="0" fontId="19" fillId="0" borderId="0" xfId="1" applyFont="1" applyAlignment="1">
      <alignment vertical="center" shrinkToFit="1"/>
    </xf>
    <xf numFmtId="0" fontId="20" fillId="7" borderId="7" xfId="1" applyFont="1" applyFill="1" applyBorder="1" applyAlignment="1">
      <alignment horizontal="left" vertical="center" indent="1"/>
    </xf>
    <xf numFmtId="0" fontId="20" fillId="7" borderId="8" xfId="1" applyFont="1" applyFill="1" applyBorder="1" applyAlignment="1">
      <alignment horizontal="left" vertical="center" indent="1"/>
    </xf>
    <xf numFmtId="0" fontId="21" fillId="4" borderId="8" xfId="1" applyFont="1" applyFill="1" applyBorder="1" applyAlignment="1">
      <alignment horizontal="center" vertical="center"/>
    </xf>
    <xf numFmtId="0" fontId="21" fillId="4" borderId="9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19" fillId="0" borderId="0" xfId="1" applyFont="1">
      <alignment vertical="center"/>
    </xf>
    <xf numFmtId="0" fontId="3" fillId="3" borderId="11" xfId="1" applyFont="1" applyFill="1" applyBorder="1" applyAlignment="1">
      <alignment horizontal="left" vertical="center" indent="1" shrinkToFit="1"/>
    </xf>
    <xf numFmtId="0" fontId="3" fillId="3" borderId="12" xfId="1" applyFont="1" applyFill="1" applyBorder="1" applyAlignment="1">
      <alignment horizontal="left" vertical="center" indent="1" shrinkToFit="1"/>
    </xf>
    <xf numFmtId="0" fontId="14" fillId="0" borderId="12" xfId="1" applyFont="1" applyBorder="1" applyAlignment="1">
      <alignment horizontal="left" vertical="center" indent="1" shrinkToFit="1"/>
    </xf>
    <xf numFmtId="0" fontId="14" fillId="0" borderId="18" xfId="1" applyFont="1" applyBorder="1" applyAlignment="1">
      <alignment horizontal="left" vertical="center" indent="1" shrinkToFit="1"/>
    </xf>
    <xf numFmtId="0" fontId="3" fillId="3" borderId="19" xfId="1" applyFont="1" applyFill="1" applyBorder="1" applyAlignment="1">
      <alignment horizontal="center" vertical="center" wrapText="1"/>
    </xf>
    <xf numFmtId="0" fontId="13" fillId="0" borderId="8" xfId="1" applyFont="1" applyBorder="1" applyAlignment="1" applyProtection="1">
      <alignment horizontal="left" vertical="center" indent="1" shrinkToFit="1"/>
      <protection locked="0"/>
    </xf>
    <xf numFmtId="0" fontId="13" fillId="0" borderId="9" xfId="1" applyFont="1" applyBorder="1" applyAlignment="1" applyProtection="1">
      <alignment horizontal="left" vertical="center" indent="1" shrinkToFit="1"/>
      <protection locked="0"/>
    </xf>
    <xf numFmtId="0" fontId="19" fillId="0" borderId="0" xfId="1" applyFont="1" applyAlignment="1">
      <alignment horizontal="left" vertical="center" wrapText="1" shrinkToFit="1"/>
    </xf>
    <xf numFmtId="0" fontId="13" fillId="0" borderId="8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 wrapText="1"/>
    </xf>
    <xf numFmtId="0" fontId="19" fillId="0" borderId="0" xfId="1" applyFont="1" applyAlignment="1">
      <alignment horizontal="left" vertical="center" shrinkToFit="1"/>
    </xf>
    <xf numFmtId="0" fontId="3" fillId="3" borderId="7" xfId="1" applyFont="1" applyFill="1" applyBorder="1" applyAlignment="1">
      <alignment horizontal="left" vertical="center" indent="1" shrinkToFit="1"/>
    </xf>
    <xf numFmtId="0" fontId="3" fillId="3" borderId="8" xfId="1" applyFont="1" applyFill="1" applyBorder="1" applyAlignment="1">
      <alignment horizontal="left" vertical="center" indent="1" shrinkToFit="1"/>
    </xf>
    <xf numFmtId="0" fontId="13" fillId="0" borderId="8" xfId="1" applyFont="1" applyBorder="1" applyAlignment="1">
      <alignment horizontal="left" vertical="center" wrapText="1" indent="1"/>
    </xf>
    <xf numFmtId="0" fontId="13" fillId="0" borderId="9" xfId="1" applyFont="1" applyBorder="1" applyAlignment="1">
      <alignment horizontal="left" vertical="center" wrapText="1" indent="1"/>
    </xf>
    <xf numFmtId="0" fontId="3" fillId="3" borderId="20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left" vertical="center" indent="1" shrinkToFit="1"/>
    </xf>
    <xf numFmtId="0" fontId="13" fillId="0" borderId="21" xfId="1" applyFont="1" applyBorder="1" applyAlignment="1">
      <alignment horizontal="center" vertical="center"/>
    </xf>
    <xf numFmtId="0" fontId="3" fillId="0" borderId="21" xfId="1" applyFont="1" applyBorder="1">
      <alignment vertical="center"/>
    </xf>
    <xf numFmtId="0" fontId="14" fillId="0" borderId="21" xfId="1" applyFont="1" applyBorder="1" applyAlignment="1">
      <alignment horizontal="center" vertical="center"/>
    </xf>
    <xf numFmtId="49" fontId="13" fillId="0" borderId="21" xfId="1" applyNumberFormat="1" applyFont="1" applyBorder="1" applyAlignment="1">
      <alignment horizontal="center" vertical="center" shrinkToFit="1"/>
    </xf>
    <xf numFmtId="0" fontId="3" fillId="0" borderId="22" xfId="1" applyFont="1" applyBorder="1">
      <alignment vertical="center"/>
    </xf>
    <xf numFmtId="0" fontId="3" fillId="3" borderId="23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" fillId="3" borderId="8" xfId="1" applyFont="1" applyFill="1" applyBorder="1">
      <alignment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14" xfId="1" applyFont="1" applyFill="1" applyBorder="1">
      <alignment vertical="center"/>
    </xf>
    <xf numFmtId="0" fontId="12" fillId="0" borderId="14" xfId="1" applyFont="1" applyBorder="1" applyAlignment="1">
      <alignment horizontal="left" vertical="center" indent="1" shrinkToFit="1"/>
    </xf>
    <xf numFmtId="0" fontId="12" fillId="0" borderId="24" xfId="1" applyFont="1" applyBorder="1" applyAlignment="1">
      <alignment horizontal="left" vertical="center" indent="1" shrinkToFit="1"/>
    </xf>
    <xf numFmtId="0" fontId="3" fillId="3" borderId="12" xfId="1" applyFont="1" applyFill="1" applyBorder="1" applyAlignment="1">
      <alignment horizontal="center" vertical="center"/>
    </xf>
    <xf numFmtId="0" fontId="3" fillId="3" borderId="12" xfId="1" applyFont="1" applyFill="1" applyBorder="1">
      <alignment vertical="center"/>
    </xf>
    <xf numFmtId="0" fontId="3" fillId="3" borderId="25" xfId="1" applyFont="1" applyFill="1" applyBorder="1" applyAlignment="1">
      <alignment horizontal="center" vertical="center"/>
    </xf>
    <xf numFmtId="0" fontId="3" fillId="3" borderId="26" xfId="1" applyFont="1" applyFill="1" applyBorder="1" applyAlignment="1">
      <alignment horizontal="left" vertical="center" wrapText="1" indent="2" shrinkToFit="1"/>
    </xf>
    <xf numFmtId="0" fontId="3" fillId="3" borderId="8" xfId="1" applyFont="1" applyFill="1" applyBorder="1" applyAlignment="1">
      <alignment horizontal="left" vertical="center" wrapText="1" indent="2" shrinkToFit="1"/>
    </xf>
    <xf numFmtId="0" fontId="3" fillId="3" borderId="8" xfId="1" applyFont="1" applyFill="1" applyBorder="1" applyAlignment="1">
      <alignment horizontal="center" vertical="center" shrinkToFit="1"/>
    </xf>
    <xf numFmtId="0" fontId="22" fillId="0" borderId="21" xfId="1" applyFont="1" applyBorder="1">
      <alignment vertical="center"/>
    </xf>
    <xf numFmtId="0" fontId="14" fillId="0" borderId="24" xfId="1" applyFont="1" applyBorder="1" applyAlignment="1">
      <alignment horizontal="left" vertical="center" indent="1" shrinkToFit="1"/>
    </xf>
    <xf numFmtId="0" fontId="14" fillId="0" borderId="8" xfId="1" applyFont="1" applyBorder="1" applyAlignment="1">
      <alignment horizontal="left" vertical="center" wrapText="1" indent="1"/>
    </xf>
    <xf numFmtId="0" fontId="14" fillId="0" borderId="9" xfId="1" applyFont="1" applyBorder="1" applyAlignment="1">
      <alignment horizontal="left" vertical="center" wrapText="1" indent="1"/>
    </xf>
    <xf numFmtId="0" fontId="3" fillId="8" borderId="7" xfId="1" applyFont="1" applyFill="1" applyBorder="1" applyAlignment="1">
      <alignment horizontal="center" vertical="center"/>
    </xf>
    <xf numFmtId="0" fontId="3" fillId="8" borderId="8" xfId="1" applyFont="1" applyFill="1" applyBorder="1" applyAlignment="1">
      <alignment horizontal="center" vertical="center"/>
    </xf>
    <xf numFmtId="0" fontId="3" fillId="8" borderId="9" xfId="1" applyFont="1" applyFill="1" applyBorder="1" applyAlignment="1">
      <alignment horizontal="center" vertical="center"/>
    </xf>
    <xf numFmtId="0" fontId="3" fillId="9" borderId="17" xfId="1" applyFont="1" applyFill="1" applyBorder="1" applyAlignment="1">
      <alignment horizontal="center" vertical="center"/>
    </xf>
    <xf numFmtId="0" fontId="3" fillId="9" borderId="21" xfId="1" applyFont="1" applyFill="1" applyBorder="1" applyAlignment="1">
      <alignment horizontal="center" vertical="center"/>
    </xf>
    <xf numFmtId="0" fontId="3" fillId="9" borderId="22" xfId="1" applyFont="1" applyFill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5" fontId="3" fillId="0" borderId="12" xfId="1" applyNumberFormat="1" applyFont="1" applyBorder="1" applyAlignment="1">
      <alignment horizontal="right" vertical="center" indent="1"/>
    </xf>
    <xf numFmtId="5" fontId="3" fillId="0" borderId="18" xfId="1" applyNumberFormat="1" applyFont="1" applyBorder="1" applyAlignment="1">
      <alignment horizontal="right" vertical="center" indent="1"/>
    </xf>
    <xf numFmtId="0" fontId="3" fillId="0" borderId="11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3">
    <cellStyle name="Hyperlink" xfId="2" xr:uid="{704C2D06-2646-4420-A8E2-23AB96AE6EB2}"/>
    <cellStyle name="標準" xfId="0" builtinId="0"/>
    <cellStyle name="標準 2 2" xfId="1" xr:uid="{9DA57E1F-C5E3-46C5-B494-CF8D1A951BFC}"/>
  </cellStyles>
  <dxfs count="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CheckBox" checked="Checked" fmlaLink="O56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150813</xdr:colOff>
      <xdr:row>2</xdr:row>
      <xdr:rowOff>15877</xdr:rowOff>
    </xdr:from>
    <xdr:to>
      <xdr:col>6</xdr:col>
      <xdr:colOff>463550</xdr:colOff>
      <xdr:row>3</xdr:row>
      <xdr:rowOff>76836</xdr:rowOff>
    </xdr:to>
    <xdr:pic>
      <xdr:nvPicPr>
        <xdr:cNvPr id="2" name="グラフィックス 1" descr="封筒 枠線">
          <a:extLst>
            <a:ext uri="{FF2B5EF4-FFF2-40B4-BE49-F238E27FC236}">
              <a16:creationId xmlns:a16="http://schemas.microsoft.com/office/drawing/2014/main" id="{C77298C9-D10E-4041-9C22-A9F6CA1A3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4613" y="415927"/>
          <a:ext cx="312737" cy="3276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180975</xdr:colOff>
          <xdr:row>54</xdr:row>
          <xdr:rowOff>381000</xdr:rowOff>
        </xdr:from>
        <xdr:to>
          <xdr:col>16</xdr:col>
          <xdr:colOff>466725</xdr:colOff>
          <xdr:row>56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892D8E4-EE04-42C2-9112-57D33FEB2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通夜と同一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375411\Desktop\&#12304;&#20840;&#31038;&#27161;&#28310;&#12305;&#24340;&#20107;&#23550;&#24540;&#12501;&#12457;&#12523;&#12480;\1.%20&#19979;&#20966;&#29702;\temp_&#24340;&#20107;&#36899;&#32097;&#31080;.xlsx" TargetMode="External"/><Relationship Id="rId1" Type="http://schemas.openxmlformats.org/officeDocument/2006/relationships/externalLinkPath" Target="/Users/E375411/Desktop/&#12304;&#20840;&#31038;&#27161;&#28310;&#12305;&#24340;&#20107;&#23550;&#24540;&#12501;&#12457;&#12523;&#12480;/1.%20&#19979;&#20966;&#29702;/temp_&#24340;&#20107;&#36899;&#32097;&#3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375411\Desktop\&#12304;&#20840;&#31038;&#27161;&#28310;&#12305;&#24340;&#20107;&#23550;&#24540;&#12501;&#12457;&#12523;&#12480;\2.%20RPA&#12502;&#12483;&#12463;\RPA&#12502;&#12483;&#12463;.xlsx" TargetMode="External"/><Relationship Id="rId1" Type="http://schemas.openxmlformats.org/officeDocument/2006/relationships/externalLinkPath" Target="RPA&#12502;&#12483;&#1246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59;&#12473;&#12479;&#12512;&#24180;&#38291;&#12459;&#12524;&#12531;&#12480;&#1254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弔事連絡票"/>
      <sheetName val="記入例"/>
      <sheetName val="規定"/>
      <sheetName val="【M】香典額"/>
    </sheetNames>
    <sheetDataSet>
      <sheetData sheetId="0"/>
      <sheetData sheetId="1"/>
      <sheetData sheetId="2"/>
      <sheetData sheetId="3"/>
      <sheetData sheetId="4">
        <row r="21">
          <cell r="B21">
            <v>50000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弔事連絡票"/>
      <sheetName val="手配入力シート"/>
      <sheetName val="RPAシート"/>
      <sheetName val="RPAシート下処理3"/>
      <sheetName val="RPAシート下処理2"/>
      <sheetName val="RPAシート下処理1"/>
      <sheetName val="PID弔事連絡票"/>
      <sheetName val="PID手配入力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  <sheetName val="詳細情報"/>
      <sheetName val="9"/>
    </sheetNames>
    <sheetDataSet>
      <sheetData sheetId="0">
        <row r="18">
          <cell r="AD18">
            <v>2022</v>
          </cell>
        </row>
        <row r="24">
          <cell r="AD2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w-chouji@ml.jp.panasonic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B7B7-4282-4D7D-986D-557EA0D38408}">
  <sheetPr>
    <pageSetUpPr fitToPage="1"/>
  </sheetPr>
  <dimension ref="B1:AJ72"/>
  <sheetViews>
    <sheetView showGridLines="0" tabSelected="1" zoomScaleNormal="100" workbookViewId="0">
      <selection activeCell="N65" sqref="N65"/>
    </sheetView>
  </sheetViews>
  <sheetFormatPr defaultColWidth="8.875" defaultRowHeight="15.75" x14ac:dyDescent="0.4"/>
  <cols>
    <col min="1" max="1" width="2.625" style="1" customWidth="1"/>
    <col min="2" max="3" width="9.875" style="1" customWidth="1"/>
    <col min="4" max="5" width="8.875" style="1"/>
    <col min="6" max="6" width="8.875" style="1" bestFit="1" customWidth="1"/>
    <col min="7" max="17" width="8.875" style="1"/>
    <col min="18" max="18" width="3.625" style="1" customWidth="1"/>
    <col min="19" max="19" width="8.875" style="1"/>
    <col min="20" max="20" width="8.875" style="1" customWidth="1"/>
    <col min="21" max="27" width="12.875" style="1" customWidth="1"/>
    <col min="28" max="28" width="15.125" style="1" hidden="1" customWidth="1"/>
    <col min="29" max="32" width="8.875" style="1" hidden="1" customWidth="1"/>
    <col min="33" max="16384" width="8.875" style="1"/>
  </cols>
  <sheetData>
    <row r="1" spans="2:19" x14ac:dyDescent="0.4">
      <c r="B1" s="1" t="s">
        <v>0</v>
      </c>
      <c r="P1" s="2" t="s">
        <v>1</v>
      </c>
      <c r="Q1" s="2"/>
    </row>
    <row r="3" spans="2:19" ht="21" x14ac:dyDescent="0.4">
      <c r="B3" s="3" t="s">
        <v>2</v>
      </c>
      <c r="C3" s="4"/>
      <c r="D3" s="4"/>
      <c r="E3" s="4"/>
      <c r="F3" s="4"/>
      <c r="H3" s="5" t="s">
        <v>3</v>
      </c>
      <c r="I3" s="4"/>
      <c r="J3" s="4"/>
      <c r="K3" s="4"/>
      <c r="L3" s="4"/>
      <c r="M3" s="4"/>
      <c r="N3" s="4"/>
      <c r="O3" s="4"/>
    </row>
    <row r="5" spans="2:19" x14ac:dyDescent="0.4">
      <c r="B5" s="6" t="s">
        <v>4</v>
      </c>
      <c r="C5" s="7" t="s">
        <v>5</v>
      </c>
    </row>
    <row r="6" spans="2:19" x14ac:dyDescent="0.4">
      <c r="C6" s="1" t="s">
        <v>6</v>
      </c>
    </row>
    <row r="7" spans="2:19" x14ac:dyDescent="0.4">
      <c r="C7" s="7" t="s">
        <v>7</v>
      </c>
      <c r="G7" s="7" t="s">
        <v>8</v>
      </c>
    </row>
    <row r="8" spans="2:19" x14ac:dyDescent="0.4">
      <c r="B8" s="6" t="s">
        <v>9</v>
      </c>
      <c r="C8" s="7" t="s">
        <v>10</v>
      </c>
    </row>
    <row r="9" spans="2:19" x14ac:dyDescent="0.4">
      <c r="B9" s="6"/>
      <c r="C9" s="1" t="s">
        <v>11</v>
      </c>
    </row>
    <row r="10" spans="2:19" x14ac:dyDescent="0.4">
      <c r="B10" s="6" t="s">
        <v>12</v>
      </c>
      <c r="C10" s="1" t="s">
        <v>13</v>
      </c>
    </row>
    <row r="11" spans="2:19" x14ac:dyDescent="0.4">
      <c r="B11" s="6" t="s">
        <v>14</v>
      </c>
      <c r="C11" s="8" t="s">
        <v>15</v>
      </c>
      <c r="D11" s="8"/>
      <c r="E11" s="8"/>
    </row>
    <row r="12" spans="2:19" x14ac:dyDescent="0.4">
      <c r="B12" s="6" t="s">
        <v>16</v>
      </c>
      <c r="C12" s="9" t="s">
        <v>17</v>
      </c>
      <c r="D12" s="4"/>
      <c r="E12" s="4"/>
      <c r="F12" s="4"/>
      <c r="G12" s="4"/>
      <c r="H12" s="4"/>
      <c r="I12" s="4"/>
      <c r="J12" s="4"/>
      <c r="K12" s="4"/>
    </row>
    <row r="13" spans="2:19" x14ac:dyDescent="0.4">
      <c r="B13" s="6"/>
      <c r="C13" s="1" t="s">
        <v>18</v>
      </c>
    </row>
    <row r="14" spans="2:19" ht="16.5" thickBot="1" x14ac:dyDescent="0.45"/>
    <row r="15" spans="2:19" ht="15" customHeight="1" x14ac:dyDescent="0.4">
      <c r="B15" s="10" t="s">
        <v>19</v>
      </c>
      <c r="C15" s="11"/>
      <c r="D15" s="11"/>
      <c r="E15" s="11"/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3"/>
    </row>
    <row r="16" spans="2:19" ht="15" customHeight="1" thickBot="1" x14ac:dyDescent="0.45">
      <c r="B16" s="14"/>
      <c r="C16" s="15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6"/>
      <c r="P16" s="16"/>
      <c r="Q16" s="17"/>
      <c r="S16" s="7"/>
    </row>
    <row r="18" spans="2:36" ht="30" customHeight="1" x14ac:dyDescent="0.4">
      <c r="B18" s="18" t="s">
        <v>20</v>
      </c>
      <c r="C18" s="19"/>
      <c r="D18" s="19"/>
      <c r="E18" s="20">
        <v>2025</v>
      </c>
      <c r="F18" s="21" t="s">
        <v>21</v>
      </c>
      <c r="G18" s="20">
        <v>11</v>
      </c>
      <c r="H18" s="21" t="s">
        <v>22</v>
      </c>
      <c r="I18" s="22">
        <v>6</v>
      </c>
      <c r="J18" s="23" t="s">
        <v>23</v>
      </c>
    </row>
    <row r="19" spans="2:36" ht="15" customHeight="1" x14ac:dyDescent="0.4"/>
    <row r="20" spans="2:36" ht="15" customHeight="1" x14ac:dyDescent="0.4"/>
    <row r="21" spans="2:36" ht="30" customHeight="1" x14ac:dyDescent="0.4">
      <c r="B21" s="24" t="s">
        <v>24</v>
      </c>
      <c r="C21" s="25"/>
      <c r="D21" s="25"/>
      <c r="E21" s="26" t="s">
        <v>25</v>
      </c>
      <c r="F21" s="27"/>
      <c r="G21" s="27"/>
      <c r="H21" s="27"/>
      <c r="I21" s="27"/>
      <c r="J21" s="28"/>
      <c r="K21" s="29" t="s">
        <v>26</v>
      </c>
      <c r="L21" s="24"/>
      <c r="M21" s="24"/>
      <c r="N21" s="26" t="s">
        <v>25</v>
      </c>
      <c r="O21" s="27"/>
      <c r="P21" s="27"/>
      <c r="Q21" s="28"/>
    </row>
    <row r="22" spans="2:36" ht="30" customHeight="1" x14ac:dyDescent="0.4">
      <c r="B22" s="24" t="s">
        <v>27</v>
      </c>
      <c r="C22" s="25"/>
      <c r="D22" s="25"/>
      <c r="E22" s="26" t="s">
        <v>25</v>
      </c>
      <c r="F22" s="27"/>
      <c r="G22" s="27"/>
      <c r="H22" s="27"/>
      <c r="I22" s="27"/>
      <c r="J22" s="28"/>
      <c r="K22" s="30" t="s">
        <v>28</v>
      </c>
      <c r="L22" s="31"/>
      <c r="M22" s="31"/>
      <c r="N22" s="26" t="s">
        <v>29</v>
      </c>
      <c r="O22" s="27"/>
      <c r="P22" s="27"/>
      <c r="Q22" s="28"/>
    </row>
    <row r="25" spans="2:36" ht="30" customHeight="1" x14ac:dyDescent="0.4">
      <c r="B25" s="32" t="s">
        <v>30</v>
      </c>
      <c r="C25" s="33"/>
      <c r="D25" s="33"/>
      <c r="E25" s="34" t="s">
        <v>31</v>
      </c>
      <c r="F25" s="34"/>
      <c r="G25" s="34"/>
      <c r="H25" s="34"/>
      <c r="I25" s="34"/>
      <c r="J25" s="34"/>
      <c r="K25" s="18" t="s">
        <v>32</v>
      </c>
      <c r="L25" s="19"/>
      <c r="M25" s="19"/>
      <c r="N25" s="35">
        <v>9040341</v>
      </c>
      <c r="O25" s="35"/>
      <c r="P25" s="35"/>
      <c r="Q25" s="36"/>
    </row>
    <row r="26" spans="2:36" ht="30" customHeight="1" x14ac:dyDescent="0.4">
      <c r="B26" s="37" t="s">
        <v>33</v>
      </c>
      <c r="C26" s="38"/>
      <c r="D26" s="38"/>
      <c r="E26" s="39" t="s">
        <v>34</v>
      </c>
      <c r="F26" s="39"/>
      <c r="G26" s="39"/>
      <c r="H26" s="39"/>
      <c r="I26" s="39"/>
      <c r="J26" s="40"/>
      <c r="K26" s="41" t="s">
        <v>35</v>
      </c>
      <c r="L26" s="38"/>
      <c r="M26" s="38"/>
      <c r="N26" s="42" t="s">
        <v>36</v>
      </c>
      <c r="O26" s="42"/>
      <c r="P26" s="42"/>
      <c r="Q26" s="43"/>
    </row>
    <row r="27" spans="2:36" x14ac:dyDescent="0.4">
      <c r="K27" s="44" t="s">
        <v>37</v>
      </c>
    </row>
    <row r="28" spans="2:36" x14ac:dyDescent="0.4">
      <c r="K28" s="44" t="s">
        <v>38</v>
      </c>
    </row>
    <row r="29" spans="2:36" x14ac:dyDescent="0.4">
      <c r="K29" s="44"/>
      <c r="AB29" s="1" t="s">
        <v>39</v>
      </c>
    </row>
    <row r="30" spans="2:36" ht="27.6" customHeight="1" x14ac:dyDescent="0.4">
      <c r="K30" s="18" t="s">
        <v>40</v>
      </c>
      <c r="L30" s="19"/>
      <c r="M30" s="19"/>
      <c r="N30" s="45" t="s">
        <v>41</v>
      </c>
      <c r="O30" s="45"/>
      <c r="P30" s="45"/>
      <c r="Q30" s="46"/>
      <c r="AB30" s="47" t="s">
        <v>42</v>
      </c>
      <c r="AC30" s="47" t="str">
        <f>VLOOKUP(N30,AB31:AC36,2,FALSE)</f>
        <v>⑥</v>
      </c>
      <c r="AD30" s="1" t="s">
        <v>43</v>
      </c>
    </row>
    <row r="31" spans="2:36" ht="30" customHeight="1" x14ac:dyDescent="0.4">
      <c r="B31" s="18" t="s">
        <v>44</v>
      </c>
      <c r="C31" s="19"/>
      <c r="D31" s="19"/>
      <c r="E31" s="48" t="s">
        <v>45</v>
      </c>
      <c r="F31" s="48"/>
      <c r="G31" s="48"/>
      <c r="H31" s="48"/>
      <c r="I31" s="48"/>
      <c r="J31" s="49"/>
      <c r="K31" s="18" t="s">
        <v>46</v>
      </c>
      <c r="L31" s="19"/>
      <c r="M31" s="19"/>
      <c r="N31" s="50" t="s">
        <v>47</v>
      </c>
      <c r="O31" s="50"/>
      <c r="P31" s="50"/>
      <c r="Q31" s="51"/>
      <c r="AB31" s="52" t="s">
        <v>48</v>
      </c>
      <c r="AC31" s="52" t="s">
        <v>49</v>
      </c>
      <c r="AD31" s="52" t="s">
        <v>50</v>
      </c>
      <c r="AE31" s="52" t="s">
        <v>51</v>
      </c>
      <c r="AF31" s="52"/>
    </row>
    <row r="32" spans="2:36" x14ac:dyDescent="0.4">
      <c r="AB32" s="52" t="s">
        <v>52</v>
      </c>
      <c r="AC32" s="52" t="s">
        <v>53</v>
      </c>
      <c r="AD32" s="52" t="s">
        <v>54</v>
      </c>
      <c r="AE32" s="52" t="s">
        <v>55</v>
      </c>
      <c r="AF32" s="52"/>
      <c r="AH32" s="53"/>
      <c r="AI32" s="53"/>
      <c r="AJ32" s="53"/>
    </row>
    <row r="33" spans="2:32" ht="30" customHeight="1" x14ac:dyDescent="0.4">
      <c r="B33" s="18" t="s">
        <v>56</v>
      </c>
      <c r="C33" s="19"/>
      <c r="D33" s="19"/>
      <c r="E33" s="48" t="s">
        <v>57</v>
      </c>
      <c r="F33" s="48"/>
      <c r="G33" s="48"/>
      <c r="H33" s="48"/>
      <c r="I33" s="48"/>
      <c r="J33" s="49"/>
      <c r="K33" s="54" t="s">
        <v>58</v>
      </c>
      <c r="L33" s="55"/>
      <c r="M33" s="55"/>
      <c r="N33" s="56" t="s">
        <v>59</v>
      </c>
      <c r="O33" s="56"/>
      <c r="P33" s="56"/>
      <c r="Q33" s="57"/>
      <c r="AB33" s="52" t="s">
        <v>60</v>
      </c>
      <c r="AC33" s="52" t="s">
        <v>61</v>
      </c>
      <c r="AD33" s="52" t="s">
        <v>54</v>
      </c>
      <c r="AE33" s="52" t="s">
        <v>55</v>
      </c>
      <c r="AF33" s="52"/>
    </row>
    <row r="34" spans="2:32" x14ac:dyDescent="0.4">
      <c r="AB34" s="52" t="s">
        <v>62</v>
      </c>
      <c r="AC34" s="52" t="s">
        <v>63</v>
      </c>
      <c r="AD34" s="52" t="s">
        <v>54</v>
      </c>
      <c r="AE34" s="52" t="s">
        <v>55</v>
      </c>
      <c r="AF34" s="52"/>
    </row>
    <row r="35" spans="2:32" x14ac:dyDescent="0.4">
      <c r="AB35" s="52" t="s">
        <v>64</v>
      </c>
      <c r="AC35" s="52" t="s">
        <v>65</v>
      </c>
      <c r="AD35" s="52" t="s">
        <v>54</v>
      </c>
      <c r="AE35" s="52" t="s">
        <v>55</v>
      </c>
      <c r="AF35" s="52"/>
    </row>
    <row r="36" spans="2:32" ht="30" customHeight="1" x14ac:dyDescent="0.4">
      <c r="B36" s="32" t="s">
        <v>30</v>
      </c>
      <c r="C36" s="33"/>
      <c r="D36" s="33"/>
      <c r="E36" s="34" t="s">
        <v>66</v>
      </c>
      <c r="F36" s="34"/>
      <c r="G36" s="34"/>
      <c r="H36" s="34"/>
      <c r="I36" s="34"/>
      <c r="J36" s="34"/>
      <c r="K36" s="58" t="s">
        <v>67</v>
      </c>
      <c r="L36" s="59" t="s">
        <v>68</v>
      </c>
      <c r="M36" s="59"/>
      <c r="N36" s="48" t="s">
        <v>69</v>
      </c>
      <c r="O36" s="48"/>
      <c r="P36" s="48"/>
      <c r="Q36" s="49"/>
      <c r="S36" s="60"/>
      <c r="AB36" s="52" t="s">
        <v>70</v>
      </c>
      <c r="AC36" s="52" t="s">
        <v>71</v>
      </c>
      <c r="AD36" s="52" t="s">
        <v>54</v>
      </c>
      <c r="AE36" s="52" t="s">
        <v>55</v>
      </c>
      <c r="AF36" s="52"/>
    </row>
    <row r="37" spans="2:32" ht="30" customHeight="1" x14ac:dyDescent="0.4">
      <c r="B37" s="61" t="s">
        <v>72</v>
      </c>
      <c r="C37" s="62"/>
      <c r="D37" s="62"/>
      <c r="E37" s="63" t="s">
        <v>73</v>
      </c>
      <c r="F37" s="63"/>
      <c r="G37" s="63"/>
      <c r="H37" s="63"/>
      <c r="I37" s="63"/>
      <c r="J37" s="64"/>
      <c r="K37" s="65"/>
      <c r="L37" s="59" t="s">
        <v>74</v>
      </c>
      <c r="M37" s="59"/>
      <c r="N37" s="66" t="s">
        <v>75</v>
      </c>
      <c r="O37" s="66"/>
      <c r="P37" s="66"/>
      <c r="Q37" s="67"/>
      <c r="S37" s="68"/>
      <c r="T37" s="68"/>
      <c r="U37" s="68"/>
      <c r="V37" s="68"/>
      <c r="W37" s="68"/>
      <c r="X37" s="68"/>
      <c r="Y37" s="68"/>
    </row>
    <row r="38" spans="2:32" ht="30" customHeight="1" x14ac:dyDescent="0.4">
      <c r="B38" s="18" t="s">
        <v>76</v>
      </c>
      <c r="C38" s="19"/>
      <c r="D38" s="19"/>
      <c r="E38" s="69">
        <v>10</v>
      </c>
      <c r="F38" s="21" t="s">
        <v>22</v>
      </c>
      <c r="G38" s="70">
        <v>31</v>
      </c>
      <c r="H38" s="21" t="s">
        <v>23</v>
      </c>
      <c r="I38" s="69" t="s">
        <v>77</v>
      </c>
      <c r="J38" s="21" t="s">
        <v>78</v>
      </c>
      <c r="K38" s="71"/>
      <c r="L38" s="59" t="s">
        <v>79</v>
      </c>
      <c r="M38" s="59"/>
      <c r="N38" s="48" t="s">
        <v>80</v>
      </c>
      <c r="O38" s="48"/>
      <c r="P38" s="48"/>
      <c r="Q38" s="49"/>
      <c r="S38" s="68"/>
      <c r="T38" s="72"/>
      <c r="U38" s="72"/>
      <c r="V38" s="72"/>
      <c r="W38" s="72"/>
      <c r="X38" s="72"/>
      <c r="Y38" s="72"/>
    </row>
    <row r="39" spans="2:32" ht="15.6" customHeight="1" x14ac:dyDescent="0.4">
      <c r="K39" s="44" t="s">
        <v>81</v>
      </c>
      <c r="S39" s="72"/>
      <c r="T39" s="72"/>
      <c r="U39" s="72"/>
      <c r="V39" s="72"/>
      <c r="W39" s="72"/>
      <c r="X39" s="72"/>
      <c r="Y39" s="72"/>
    </row>
    <row r="41" spans="2:32" ht="30" customHeight="1" x14ac:dyDescent="0.4">
      <c r="B41" s="73" t="s">
        <v>82</v>
      </c>
      <c r="C41" s="74"/>
      <c r="D41" s="74"/>
      <c r="E41" s="74"/>
      <c r="F41" s="74"/>
      <c r="G41" s="74"/>
      <c r="H41" s="74"/>
      <c r="I41" s="74"/>
      <c r="J41" s="74"/>
      <c r="K41" s="74"/>
      <c r="L41" s="59" t="s">
        <v>83</v>
      </c>
      <c r="M41" s="59"/>
      <c r="N41" s="75" t="s">
        <v>84</v>
      </c>
      <c r="O41" s="75"/>
      <c r="P41" s="75"/>
      <c r="Q41" s="76"/>
    </row>
    <row r="42" spans="2:32" x14ac:dyDescent="0.4">
      <c r="B42" s="44" t="s">
        <v>85</v>
      </c>
    </row>
    <row r="43" spans="2:32" ht="30" customHeight="1" x14ac:dyDescent="0.4">
      <c r="B43" s="32" t="s">
        <v>30</v>
      </c>
      <c r="C43" s="33"/>
      <c r="D43" s="33"/>
      <c r="E43" s="34"/>
      <c r="F43" s="34"/>
      <c r="G43" s="34"/>
      <c r="H43" s="34"/>
      <c r="I43" s="34"/>
      <c r="J43" s="34"/>
      <c r="K43" s="18" t="s">
        <v>86</v>
      </c>
      <c r="L43" s="19"/>
      <c r="M43" s="19"/>
      <c r="N43" s="42"/>
      <c r="O43" s="42"/>
      <c r="P43" s="42"/>
      <c r="Q43" s="43"/>
    </row>
    <row r="44" spans="2:32" ht="30" customHeight="1" x14ac:dyDescent="0.4">
      <c r="B44" s="37" t="s">
        <v>33</v>
      </c>
      <c r="C44" s="38"/>
      <c r="D44" s="38"/>
      <c r="E44" s="39"/>
      <c r="F44" s="39"/>
      <c r="G44" s="39"/>
      <c r="H44" s="39"/>
      <c r="I44" s="39"/>
      <c r="J44" s="39"/>
      <c r="K44" s="41" t="s">
        <v>87</v>
      </c>
      <c r="L44" s="38"/>
      <c r="M44" s="38"/>
      <c r="N44" s="42"/>
      <c r="O44" s="42"/>
      <c r="P44" s="42"/>
      <c r="Q44" s="43"/>
    </row>
    <row r="45" spans="2:32" ht="30" customHeight="1" x14ac:dyDescent="0.4">
      <c r="B45" s="18" t="s">
        <v>88</v>
      </c>
      <c r="C45" s="19"/>
      <c r="D45" s="19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6"/>
    </row>
    <row r="46" spans="2:32" ht="30" customHeight="1" x14ac:dyDescent="0.4">
      <c r="B46" s="18" t="s">
        <v>46</v>
      </c>
      <c r="C46" s="19"/>
      <c r="D46" s="19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6"/>
    </row>
    <row r="48" spans="2:32" x14ac:dyDescent="0.4">
      <c r="B48" s="1" t="s">
        <v>89</v>
      </c>
    </row>
    <row r="49" spans="2:17" ht="30" customHeight="1" x14ac:dyDescent="0.4">
      <c r="B49" s="77" t="s">
        <v>90</v>
      </c>
      <c r="C49" s="78" t="s">
        <v>91</v>
      </c>
      <c r="D49" s="78"/>
      <c r="E49" s="79">
        <v>11</v>
      </c>
      <c r="F49" s="80" t="s">
        <v>22</v>
      </c>
      <c r="G49" s="81">
        <v>5</v>
      </c>
      <c r="H49" s="80" t="s">
        <v>23</v>
      </c>
      <c r="I49" s="79" t="s">
        <v>92</v>
      </c>
      <c r="J49" s="80" t="s">
        <v>78</v>
      </c>
      <c r="K49" s="80"/>
      <c r="L49" s="79">
        <v>10</v>
      </c>
      <c r="M49" s="80" t="s">
        <v>93</v>
      </c>
      <c r="N49" s="82" t="s">
        <v>94</v>
      </c>
      <c r="O49" s="80" t="s">
        <v>95</v>
      </c>
      <c r="P49" s="80"/>
      <c r="Q49" s="83"/>
    </row>
    <row r="50" spans="2:17" ht="30" customHeight="1" x14ac:dyDescent="0.4">
      <c r="B50" s="84"/>
      <c r="C50" s="85" t="s">
        <v>96</v>
      </c>
      <c r="D50" s="86" t="s">
        <v>97</v>
      </c>
      <c r="E50" s="42" t="s">
        <v>98</v>
      </c>
      <c r="F50" s="42"/>
      <c r="G50" s="43"/>
      <c r="H50" s="87" t="s">
        <v>99</v>
      </c>
      <c r="I50" s="88"/>
      <c r="J50" s="42" t="s">
        <v>100</v>
      </c>
      <c r="K50" s="42"/>
      <c r="L50" s="42"/>
      <c r="M50" s="87" t="s">
        <v>101</v>
      </c>
      <c r="N50" s="88"/>
      <c r="O50" s="42"/>
      <c r="P50" s="42"/>
      <c r="Q50" s="43"/>
    </row>
    <row r="51" spans="2:17" ht="30" customHeight="1" x14ac:dyDescent="0.4">
      <c r="B51" s="84"/>
      <c r="C51" s="89"/>
      <c r="D51" s="90" t="s">
        <v>30</v>
      </c>
      <c r="E51" s="91" t="s">
        <v>102</v>
      </c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2"/>
    </row>
    <row r="52" spans="2:17" ht="30" customHeight="1" x14ac:dyDescent="0.4">
      <c r="B52" s="84"/>
      <c r="C52" s="93"/>
      <c r="D52" s="94" t="s">
        <v>96</v>
      </c>
      <c r="E52" s="39" t="s">
        <v>103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40"/>
    </row>
    <row r="53" spans="2:17" ht="30" customHeight="1" x14ac:dyDescent="0.4">
      <c r="B53" s="84"/>
      <c r="C53" s="89" t="s">
        <v>104</v>
      </c>
      <c r="D53" s="90" t="s">
        <v>30</v>
      </c>
      <c r="E53" s="91" t="s">
        <v>105</v>
      </c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2"/>
    </row>
    <row r="54" spans="2:17" ht="30" customHeight="1" x14ac:dyDescent="0.4">
      <c r="B54" s="95"/>
      <c r="C54" s="93"/>
      <c r="D54" s="94" t="s">
        <v>106</v>
      </c>
      <c r="E54" s="39" t="s">
        <v>107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40"/>
    </row>
    <row r="55" spans="2:17" ht="30" customHeight="1" x14ac:dyDescent="0.4">
      <c r="B55" s="77" t="s">
        <v>108</v>
      </c>
      <c r="C55" s="78" t="s">
        <v>91</v>
      </c>
      <c r="D55" s="78"/>
      <c r="E55" s="79">
        <v>11</v>
      </c>
      <c r="F55" s="80" t="s">
        <v>22</v>
      </c>
      <c r="G55" s="81">
        <v>5</v>
      </c>
      <c r="H55" s="80" t="s">
        <v>23</v>
      </c>
      <c r="I55" s="79" t="s">
        <v>92</v>
      </c>
      <c r="J55" s="80" t="s">
        <v>78</v>
      </c>
      <c r="K55" s="80"/>
      <c r="L55" s="79">
        <v>10</v>
      </c>
      <c r="M55" s="80" t="s">
        <v>93</v>
      </c>
      <c r="N55" s="82" t="s">
        <v>94</v>
      </c>
      <c r="O55" s="80" t="s">
        <v>95</v>
      </c>
      <c r="P55" s="80"/>
      <c r="Q55" s="83"/>
    </row>
    <row r="56" spans="2:17" ht="30" customHeight="1" x14ac:dyDescent="0.4">
      <c r="B56" s="84"/>
      <c r="C56" s="96" t="s">
        <v>109</v>
      </c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8" t="s">
        <v>110</v>
      </c>
      <c r="O56" s="99" t="b">
        <v>1</v>
      </c>
      <c r="P56" s="80"/>
      <c r="Q56" s="83"/>
    </row>
    <row r="57" spans="2:17" ht="30" customHeight="1" x14ac:dyDescent="0.4">
      <c r="B57" s="84"/>
      <c r="C57" s="85" t="s">
        <v>96</v>
      </c>
      <c r="D57" s="86" t="s">
        <v>97</v>
      </c>
      <c r="E57" s="35" t="str">
        <f>IF(O56=TRUE,E50&amp; " ","")</f>
        <v xml:space="preserve">341-0025 </v>
      </c>
      <c r="F57" s="35"/>
      <c r="G57" s="36"/>
      <c r="H57" s="87" t="s">
        <v>99</v>
      </c>
      <c r="I57" s="88"/>
      <c r="J57" s="35" t="str">
        <f>IF(O56=TRUE,J50&amp; " ","")</f>
        <v xml:space="preserve">048-952-5885 </v>
      </c>
      <c r="K57" s="35"/>
      <c r="L57" s="35"/>
      <c r="M57" s="87" t="s">
        <v>101</v>
      </c>
      <c r="N57" s="88"/>
      <c r="O57" s="35" t="str">
        <f>IF(O56=TRUE,O50&amp; " ","")</f>
        <v xml:space="preserve"> </v>
      </c>
      <c r="P57" s="35"/>
      <c r="Q57" s="36"/>
    </row>
    <row r="58" spans="2:17" ht="30" customHeight="1" x14ac:dyDescent="0.4">
      <c r="B58" s="84"/>
      <c r="C58" s="89"/>
      <c r="D58" s="90" t="s">
        <v>30</v>
      </c>
      <c r="E58" s="91" t="str">
        <f>IF(O56=TRUE,E51&amp; " ","")</f>
        <v xml:space="preserve">ｻｲﾀﾏｹﾝﾐｻﾄｼﾓﾀｲ </v>
      </c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2"/>
    </row>
    <row r="59" spans="2:17" ht="30" customHeight="1" x14ac:dyDescent="0.4">
      <c r="B59" s="84"/>
      <c r="C59" s="93"/>
      <c r="D59" s="94" t="s">
        <v>96</v>
      </c>
      <c r="E59" s="39" t="str">
        <f>IF(O56=TRUE,E52&amp; " ","")</f>
        <v xml:space="preserve">埼玉県三郷市茂田井１５ 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40"/>
    </row>
    <row r="60" spans="2:17" ht="30" customHeight="1" x14ac:dyDescent="0.4">
      <c r="B60" s="84"/>
      <c r="C60" s="89" t="s">
        <v>106</v>
      </c>
      <c r="D60" s="90" t="s">
        <v>30</v>
      </c>
      <c r="E60" s="91" t="str">
        <f>IF(O56=TRUE,E53&amp; " ","")</f>
        <v xml:space="preserve">ﾐｻﾄｼｻｲｼﾞｮｳ </v>
      </c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2"/>
    </row>
    <row r="61" spans="2:17" ht="30" customHeight="1" x14ac:dyDescent="0.4">
      <c r="B61" s="95"/>
      <c r="C61" s="93"/>
      <c r="D61" s="94" t="s">
        <v>106</v>
      </c>
      <c r="E61" s="39" t="str">
        <f>IF(O56=TRUE,E54&amp; " ","")</f>
        <v xml:space="preserve">三郷市斎場 </v>
      </c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40"/>
    </row>
    <row r="63" spans="2:17" ht="30" customHeight="1" x14ac:dyDescent="0.4">
      <c r="B63" s="32" t="s">
        <v>30</v>
      </c>
      <c r="C63" s="33"/>
      <c r="D63" s="33"/>
      <c r="E63" s="34" t="s">
        <v>31</v>
      </c>
      <c r="F63" s="34"/>
      <c r="G63" s="34"/>
      <c r="H63" s="34"/>
      <c r="I63" s="34"/>
      <c r="J63" s="100"/>
      <c r="K63" s="19" t="s">
        <v>86</v>
      </c>
      <c r="L63" s="19"/>
      <c r="M63" s="19"/>
      <c r="N63" s="42" t="s">
        <v>111</v>
      </c>
      <c r="O63" s="42"/>
      <c r="P63" s="42"/>
      <c r="Q63" s="43"/>
    </row>
    <row r="64" spans="2:17" ht="30" customHeight="1" x14ac:dyDescent="0.4">
      <c r="B64" s="37" t="s">
        <v>112</v>
      </c>
      <c r="C64" s="38"/>
      <c r="D64" s="38"/>
      <c r="E64" s="39" t="s">
        <v>34</v>
      </c>
      <c r="F64" s="39"/>
      <c r="G64" s="39"/>
      <c r="H64" s="39"/>
      <c r="I64" s="39"/>
      <c r="J64" s="40"/>
      <c r="K64" s="19" t="s">
        <v>113</v>
      </c>
      <c r="L64" s="19"/>
      <c r="M64" s="19"/>
      <c r="N64" s="42" t="s">
        <v>114</v>
      </c>
      <c r="O64" s="42"/>
      <c r="P64" s="42"/>
      <c r="Q64" s="43"/>
    </row>
    <row r="66" spans="2:17" x14ac:dyDescent="0.4">
      <c r="B66" s="1" t="s">
        <v>115</v>
      </c>
    </row>
    <row r="67" spans="2:17" ht="30" customHeight="1" x14ac:dyDescent="0.4">
      <c r="B67" s="18" t="s">
        <v>116</v>
      </c>
      <c r="C67" s="19"/>
      <c r="D67" s="19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2"/>
    </row>
    <row r="68" spans="2:17" ht="21.95" customHeight="1" x14ac:dyDescent="0.4"/>
    <row r="69" spans="2:17" ht="30" customHeight="1" x14ac:dyDescent="0.4">
      <c r="B69" s="103" t="s">
        <v>117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5"/>
    </row>
    <row r="70" spans="2:17" ht="30" customHeight="1" x14ac:dyDescent="0.4">
      <c r="B70" s="106" t="s">
        <v>118</v>
      </c>
      <c r="C70" s="107"/>
      <c r="D70" s="106" t="s">
        <v>32</v>
      </c>
      <c r="E70" s="108"/>
      <c r="F70" s="107" t="s">
        <v>119</v>
      </c>
      <c r="G70" s="108"/>
      <c r="H70" s="106" t="s">
        <v>120</v>
      </c>
      <c r="I70" s="108"/>
      <c r="J70" s="106" t="s">
        <v>121</v>
      </c>
      <c r="K70" s="108"/>
      <c r="L70" s="106" t="s">
        <v>122</v>
      </c>
      <c r="M70" s="108"/>
      <c r="N70" s="106"/>
      <c r="O70" s="107"/>
      <c r="P70" s="107"/>
      <c r="Q70" s="108"/>
    </row>
    <row r="71" spans="2:17" ht="79.5" customHeight="1" x14ac:dyDescent="0.4">
      <c r="B71" s="109"/>
      <c r="C71" s="110"/>
      <c r="D71" s="111">
        <f>(N25)</f>
        <v>9040341</v>
      </c>
      <c r="E71" s="112"/>
      <c r="F71" s="113">
        <f>SUM([1]【M】香典額!B21)</f>
        <v>50000</v>
      </c>
      <c r="G71" s="114"/>
      <c r="H71" s="115"/>
      <c r="I71" s="116"/>
      <c r="J71" s="111"/>
      <c r="K71" s="112"/>
      <c r="L71" s="111"/>
      <c r="M71" s="112"/>
      <c r="N71" s="117"/>
      <c r="O71" s="118"/>
      <c r="P71" s="118"/>
      <c r="Q71" s="119"/>
    </row>
    <row r="72" spans="2:17" x14ac:dyDescent="0.4">
      <c r="D72" s="120"/>
    </row>
  </sheetData>
  <mergeCells count="111">
    <mergeCell ref="B71:C71"/>
    <mergeCell ref="D71:E71"/>
    <mergeCell ref="F71:G71"/>
    <mergeCell ref="J71:K71"/>
    <mergeCell ref="L71:M71"/>
    <mergeCell ref="N71:Q71"/>
    <mergeCell ref="B69:Q69"/>
    <mergeCell ref="B70:C70"/>
    <mergeCell ref="D70:E70"/>
    <mergeCell ref="F70:G70"/>
    <mergeCell ref="H70:I70"/>
    <mergeCell ref="J70:K70"/>
    <mergeCell ref="L70:M70"/>
    <mergeCell ref="N70:Q70"/>
    <mergeCell ref="B64:D64"/>
    <mergeCell ref="E64:J64"/>
    <mergeCell ref="K64:M64"/>
    <mergeCell ref="N64:Q64"/>
    <mergeCell ref="B67:D67"/>
    <mergeCell ref="E67:Q67"/>
    <mergeCell ref="C60:C61"/>
    <mergeCell ref="E60:Q60"/>
    <mergeCell ref="E61:Q61"/>
    <mergeCell ref="B63:D63"/>
    <mergeCell ref="E63:J63"/>
    <mergeCell ref="K63:M63"/>
    <mergeCell ref="N63:Q63"/>
    <mergeCell ref="H57:I57"/>
    <mergeCell ref="J57:L57"/>
    <mergeCell ref="M57:N57"/>
    <mergeCell ref="O57:Q57"/>
    <mergeCell ref="E58:Q58"/>
    <mergeCell ref="E59:Q59"/>
    <mergeCell ref="E51:Q51"/>
    <mergeCell ref="E52:Q52"/>
    <mergeCell ref="C53:C54"/>
    <mergeCell ref="E53:Q53"/>
    <mergeCell ref="E54:Q54"/>
    <mergeCell ref="B55:B61"/>
    <mergeCell ref="C55:D55"/>
    <mergeCell ref="C56:M56"/>
    <mergeCell ref="C57:C59"/>
    <mergeCell ref="E57:G57"/>
    <mergeCell ref="B46:D46"/>
    <mergeCell ref="E46:Q46"/>
    <mergeCell ref="B49:B54"/>
    <mergeCell ref="C49:D49"/>
    <mergeCell ref="C50:C52"/>
    <mergeCell ref="E50:G50"/>
    <mergeCell ref="H50:I50"/>
    <mergeCell ref="J50:L50"/>
    <mergeCell ref="M50:N50"/>
    <mergeCell ref="O50:Q50"/>
    <mergeCell ref="B44:D44"/>
    <mergeCell ref="E44:J44"/>
    <mergeCell ref="K44:M44"/>
    <mergeCell ref="N44:Q44"/>
    <mergeCell ref="B45:D45"/>
    <mergeCell ref="E45:Q45"/>
    <mergeCell ref="B41:K41"/>
    <mergeCell ref="L41:M41"/>
    <mergeCell ref="N41:Q41"/>
    <mergeCell ref="B43:D43"/>
    <mergeCell ref="E43:J43"/>
    <mergeCell ref="K43:M43"/>
    <mergeCell ref="N43:Q43"/>
    <mergeCell ref="S37:Y37"/>
    <mergeCell ref="B38:D38"/>
    <mergeCell ref="L38:M38"/>
    <mergeCell ref="N38:Q38"/>
    <mergeCell ref="S38:Y38"/>
    <mergeCell ref="S39:Y39"/>
    <mergeCell ref="B36:D36"/>
    <mergeCell ref="E36:J36"/>
    <mergeCell ref="K36:K38"/>
    <mergeCell ref="L36:M36"/>
    <mergeCell ref="N36:Q36"/>
    <mergeCell ref="B37:D37"/>
    <mergeCell ref="E37:J37"/>
    <mergeCell ref="L37:M37"/>
    <mergeCell ref="N37:Q37"/>
    <mergeCell ref="B31:D31"/>
    <mergeCell ref="E31:J31"/>
    <mergeCell ref="K31:M31"/>
    <mergeCell ref="N31:Q31"/>
    <mergeCell ref="B33:D33"/>
    <mergeCell ref="E33:J33"/>
    <mergeCell ref="K33:M33"/>
    <mergeCell ref="N33:Q33"/>
    <mergeCell ref="B26:D26"/>
    <mergeCell ref="E26:J26"/>
    <mergeCell ref="K26:M26"/>
    <mergeCell ref="N26:Q26"/>
    <mergeCell ref="K30:M30"/>
    <mergeCell ref="N30:Q30"/>
    <mergeCell ref="B22:D22"/>
    <mergeCell ref="E22:J22"/>
    <mergeCell ref="K22:M22"/>
    <mergeCell ref="N22:Q22"/>
    <mergeCell ref="B25:D25"/>
    <mergeCell ref="E25:J25"/>
    <mergeCell ref="K25:M25"/>
    <mergeCell ref="N25:Q25"/>
    <mergeCell ref="P1:Q1"/>
    <mergeCell ref="B15:J16"/>
    <mergeCell ref="K15:Q16"/>
    <mergeCell ref="B18:D18"/>
    <mergeCell ref="B21:D21"/>
    <mergeCell ref="E21:J21"/>
    <mergeCell ref="K21:M21"/>
    <mergeCell ref="N21:Q21"/>
  </mergeCells>
  <phoneticPr fontId="4"/>
  <conditionalFormatting sqref="E21:E22">
    <cfRule type="cellIs" dxfId="8" priority="2" operator="equal">
      <formula>"　"</formula>
    </cfRule>
  </conditionalFormatting>
  <conditionalFormatting sqref="E49 G49 I49 L49 N49 E50:G50 J50:L50 E51:Q54 E55 G55 I55 L55 N55 E57:G57 J57:L57 E58:Q61 E63:J64 N63:Q64 N25:Q25 E25:J26 E31:J31 E33:J33 E36:J37 N36:Q38">
    <cfRule type="cellIs" dxfId="7" priority="9" operator="equal">
      <formula>""</formula>
    </cfRule>
  </conditionalFormatting>
  <conditionalFormatting sqref="E49 G49 I49 L49 N49 E50:G50 J50:L50 E51:Q54 E55 G55 I55 L55 N55 E57:G57 J57:L57 E58:Q61 E63:J64 N63:Q64">
    <cfRule type="expression" dxfId="6" priority="4">
      <formula>AND($E$21="辞退",$E$22="辞退",$N$21="辞退",$N$22="辞退")</formula>
    </cfRule>
  </conditionalFormatting>
  <conditionalFormatting sqref="E43:J44 N43:Q44 E45:Q46">
    <cfRule type="cellIs" dxfId="5" priority="5" operator="equal">
      <formula>$N$41="有"</formula>
    </cfRule>
    <cfRule type="cellIs" dxfId="4" priority="8" operator="equal">
      <formula>""</formula>
    </cfRule>
  </conditionalFormatting>
  <conditionalFormatting sqref="N21:N22">
    <cfRule type="cellIs" dxfId="3" priority="3" operator="equal">
      <formula>"　"</formula>
    </cfRule>
  </conditionalFormatting>
  <conditionalFormatting sqref="N30:N31">
    <cfRule type="cellIs" dxfId="2" priority="1" operator="equal">
      <formula>""</formula>
    </cfRule>
  </conditionalFormatting>
  <conditionalFormatting sqref="N41:Q41">
    <cfRule type="cellIs" dxfId="1" priority="7" operator="equal">
      <formula>"　　"</formula>
    </cfRule>
  </conditionalFormatting>
  <conditionalFormatting sqref="O67:Q67">
    <cfRule type="cellIs" dxfId="0" priority="6" operator="equal">
      <formula>"　"</formula>
    </cfRule>
  </conditionalFormatting>
  <dataValidations count="16">
    <dataValidation type="list" allowBlank="1" showInputMessage="1" showErrorMessage="1" sqref="E18" xr:uid="{73CE8E30-3EF4-4E73-8522-C92FF7FD60BB}">
      <formula1>"2023,2024,2025"</formula1>
    </dataValidation>
    <dataValidation type="list" allowBlank="1" showInputMessage="1" showErrorMessage="1" sqref="E55 E38 E49 G18" xr:uid="{6AD433A8-6076-4114-B511-39F816DF1773}">
      <formula1>"　,1,2,3,4,5,6,7,8,9,10,11,12"</formula1>
    </dataValidation>
    <dataValidation type="list" showInputMessage="1" showErrorMessage="1" sqref="G55 G38 G49 I18" xr:uid="{E2D96C57-BFAF-4EB4-BA92-8600D4A392E3}">
      <formula1>"　,1,2,3,4,5,6,7,8,9,10,11,12,13,14,15,16,17,18,19,20,21,22,23,24,25,26,27,28,29,30,31"</formula1>
    </dataValidation>
    <dataValidation type="list" showInputMessage="1" showErrorMessage="1" sqref="E33" xr:uid="{BF445FE8-D0D6-4486-848E-8F31ACBF6545}">
      <formula1>"　,組合,非組"</formula1>
    </dataValidation>
    <dataValidation type="list" showInputMessage="1" showErrorMessage="1" sqref="E31" xr:uid="{3D69F5F5-C3AF-4BF3-9EDB-56459767007C}">
      <formula1>"　 ,一般社員,主務職,基幹職,経営職,NSPフル,NSPパート,非常勤嘱託,常勤嘱託,パートタイマー"</formula1>
    </dataValidation>
    <dataValidation type="list" allowBlank="1" showInputMessage="1" showErrorMessage="1" sqref="I38 I49 I55" xr:uid="{9CCCEF65-38AB-4C1F-959D-66BF421E5AAF}">
      <formula1>"　,(月）,(火),(水),(木),(金),(土),(日)"</formula1>
    </dataValidation>
    <dataValidation type="list" showInputMessage="1" showErrorMessage="1" sqref="N37" xr:uid="{BDE0EA0A-BE98-4A7A-AF55-B255A43491D3}">
      <formula1>"　　,同居,別居"</formula1>
    </dataValidation>
    <dataValidation type="list" showInputMessage="1" showErrorMessage="1" sqref="N36" xr:uid="{A52C0279-39A5-461C-8A7E-ACC5F48E9FDE}">
      <formula1>"  　　,血族,姻族"</formula1>
    </dataValidation>
    <dataValidation type="list" showInputMessage="1" showErrorMessage="1" sqref="N41" xr:uid="{A0950F9D-8F38-4F9A-AFCC-121480482335}">
      <formula1>"　　,有,無"</formula1>
    </dataValidation>
    <dataValidation type="list" allowBlank="1" showInputMessage="1" showErrorMessage="1" sqref="L49 L55" xr:uid="{E29A784E-FAE5-41D0-9506-423B432E1B07}">
      <formula1>"　,9,10,11,12,13,14,15,16,17,18,19,20,21,22,23"</formula1>
    </dataValidation>
    <dataValidation type="list" allowBlank="1" showInputMessage="1" showErrorMessage="1" sqref="N49 N55" xr:uid="{9EE8D63D-0F64-4D96-A546-959D8978C553}">
      <formula1>"　,00,15,30,45"</formula1>
    </dataValidation>
    <dataValidation type="list" allowBlank="1" showInputMessage="1" showErrorMessage="1" sqref="N38:Q38" xr:uid="{A789E036-279F-4BC6-A32D-31ADB38DB39C}">
      <formula1>"　,配偶者,実父,実母,実子,実女,義父,義母,祖父,祖母,実兄,実弟,実姉,実妹,子女(死産),本人"</formula1>
    </dataValidation>
    <dataValidation type="list" allowBlank="1" showInputMessage="1" showErrorMessage="1" sqref="O67:Q67" xr:uid="{40210F8F-0FF3-4A46-96B3-EF3588BEEA64}">
      <formula1>"　,可,辞退"</formula1>
    </dataValidation>
    <dataValidation type="list" allowBlank="1" showInputMessage="1" showErrorMessage="1" sqref="E21:J22 N21:Q21" xr:uid="{62A399A4-F7E2-42AD-A841-F10DCB96E20D}">
      <formula1>"　,会社/組合/個人(職場)から全て可,会社/組合のみ可,会社/組合/個人(職場)から全て辞退"</formula1>
    </dataValidation>
    <dataValidation type="list" allowBlank="1" showInputMessage="1" showErrorMessage="1" sqref="N22:Q22" xr:uid="{4CEB3A06-666D-457D-B41F-0B7D7AA01E3A}">
      <formula1>"　,可,個人(職場)からのものは辞退"</formula1>
    </dataValidation>
    <dataValidation type="list" showInputMessage="1" showErrorMessage="1" sqref="N30:Q30" xr:uid="{DCCAE969-8613-4E05-8279-67C7F0A917CD}">
      <formula1>"マーケティング本部,ソリューションエンジニアリング本部,ライティング事業部,電材＆くらしエネルギー事業部,技術部門(品質・知財含む）,直轄部門,　"</formula1>
    </dataValidation>
  </dataValidations>
  <hyperlinks>
    <hyperlink ref="H3" r:id="rId1" xr:uid="{55C9BB8F-7C2F-4998-999B-B547401A0FE9}"/>
  </hyperlinks>
  <pageMargins left="1.0236220472440944" right="0.70866141732283472" top="0.39370078740157483" bottom="0.19685039370078741" header="0" footer="0"/>
  <pageSetup paperSize="9" scale="52" orientation="portrait" horizontalDpi="90" verticalDpi="9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14</xdr:col>
                    <xdr:colOff>180975</xdr:colOff>
                    <xdr:row>54</xdr:row>
                    <xdr:rowOff>381000</xdr:rowOff>
                  </from>
                  <to>
                    <xdr:col>16</xdr:col>
                    <xdr:colOff>466725</xdr:colOff>
                    <xdr:row>56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11</vt:i4>
      </vt:variant>
    </vt:vector>
  </HeadingPairs>
  <TitlesOfParts>
    <vt:vector size="12" baseType="lpstr">
      <vt:lpstr>弔事連絡票</vt:lpstr>
      <vt:lpstr>弔事連絡票!①</vt:lpstr>
      <vt:lpstr>弔事連絡票!②</vt:lpstr>
      <vt:lpstr>弔事連絡票!③</vt:lpstr>
      <vt:lpstr>④</vt:lpstr>
      <vt:lpstr>⑤</vt:lpstr>
      <vt:lpstr>⑥</vt:lpstr>
      <vt:lpstr>弔事連絡票!Print_Area</vt:lpstr>
      <vt:lpstr>ソリューションエンジニアリング本部</vt:lpstr>
      <vt:lpstr>マーケティング本部</vt:lpstr>
      <vt:lpstr>ライティング事業部</vt:lpstr>
      <vt:lpstr>直轄部門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Jinji-Service Counter (人事サービス 窓口)</dc:creator>
  <cp:lastModifiedBy>Jinji-Service Counter (人事サービス 窓口)</cp:lastModifiedBy>
  <dcterms:created xsi:type="dcterms:W3CDTF">2025-11-17T02:18:29Z</dcterms:created>
  <dcterms:modified xsi:type="dcterms:W3CDTF">2025-11-17T02:18:30Z</dcterms:modified>
</cp:coreProperties>
</file>