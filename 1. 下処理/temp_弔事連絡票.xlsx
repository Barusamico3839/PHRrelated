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40341\Desktop\"/>
    </mc:Choice>
  </mc:AlternateContent>
  <xr:revisionPtr revIDLastSave="0" documentId="13_ncr:1_{F863FB90-6CAD-4EF1-A338-978F3281996C}" xr6:coauthVersionLast="47" xr6:coauthVersionMax="47" xr10:uidLastSave="{00000000-0000-0000-0000-000000000000}"/>
  <bookViews>
    <workbookView xWindow="-110" yWindow="-110" windowWidth="21820" windowHeight="13900" tabRatio="738" firstSheet="1" activeTab="1" xr2:uid="{00000000-000D-0000-FFFF-FFFF00000000}"/>
  </bookViews>
  <sheets>
    <sheet name="Sheet1" sheetId="60" state="hidden" r:id="rId1"/>
    <sheet name="弔事連絡票" sheetId="48" r:id="rId2"/>
    <sheet name="記入例" sheetId="56" r:id="rId3"/>
    <sheet name="規定" sheetId="58" r:id="rId4"/>
    <sheet name="【M】香典額" sheetId="50" state="hidden" r:id="rId5"/>
  </sheets>
  <externalReferences>
    <externalReference r:id="rId6"/>
  </externalReferences>
  <definedNames>
    <definedName name="①">弔事連絡票!$AD$31:$AF$31</definedName>
    <definedName name="②">弔事連絡票!$AD$32:$AF$32</definedName>
    <definedName name="③">弔事連絡票!$AD$33:$AF$33</definedName>
    <definedName name="④">弔事連絡票!$AD$34:$AF$34</definedName>
    <definedName name="⑤">弔事連絡票!$AD$35:$AF$35</definedName>
    <definedName name="⑥">弔事連絡票!$AD$36:$AF$36</definedName>
    <definedName name="_xlnm.Print_Area" localSheetId="2">記入例!$A$15:$Q$71</definedName>
    <definedName name="_xlnm.Print_Area" localSheetId="1">弔事連絡票!$A$15:$Q$71</definedName>
    <definedName name="ソリューションエンジニアリング本部">弔事連絡票!$X$33:$X$35</definedName>
    <definedName name="マーケティング本部">弔事連絡票!$Z$33:$Z$35</definedName>
    <definedName name="ライティング事業部">弔事連絡票!$U$33:$U$35</definedName>
    <definedName name="開始_日">'[1]1'!$AD$24</definedName>
    <definedName name="直轄部門">弔事連絡票!$V$33:$V$35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" i="48" l="1"/>
  <c r="D71" i="56"/>
  <c r="E61" i="56"/>
  <c r="E60" i="56"/>
  <c r="E59" i="56"/>
  <c r="E58" i="56"/>
  <c r="O57" i="56"/>
  <c r="J57" i="56"/>
  <c r="E57" i="56"/>
  <c r="E61" i="48" l="1"/>
  <c r="E60" i="48"/>
  <c r="E59" i="48"/>
  <c r="E58" i="48"/>
  <c r="O57" i="48"/>
  <c r="J57" i="48"/>
  <c r="E57" i="48"/>
  <c r="D71" i="48" l="1"/>
  <c r="D3" i="50"/>
  <c r="D4" i="50"/>
  <c r="D5" i="50"/>
  <c r="B21" i="50" l="1" a="1"/>
  <c r="B21" i="50" s="1"/>
  <c r="F71" i="4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<sst xmlns="http://schemas.openxmlformats.org/spreadsheetml/2006/main" count="637" uniqueCount="240">
  <si>
    <t>【平日、土日祝　共用】</t>
    <rPh sb="4" eb="7">
      <t>ドニチシュク</t>
    </rPh>
    <rPh sb="8" eb="9">
      <t>キョウ</t>
    </rPh>
    <phoneticPr fontId="4"/>
  </si>
  <si>
    <t>phr2307_00</t>
    <phoneticPr fontId="4"/>
  </si>
  <si>
    <t>※弔事連絡専用アドレスに送信　→</t>
    <phoneticPr fontId="4"/>
  </si>
  <si>
    <t>ew-chouji@ml.jp.panasonic.com</t>
    <phoneticPr fontId="4"/>
  </si>
  <si>
    <t>（注意1）</t>
    <phoneticPr fontId="4"/>
  </si>
  <si>
    <t>当日受付時間 9：00～17：30まで。以降は翌日対応となります。</t>
    <phoneticPr fontId="4"/>
  </si>
  <si>
    <r>
      <t>また、下記期間中は受付のみとなり、</t>
    </r>
    <r>
      <rPr>
        <b/>
        <sz val="11"/>
        <color rgb="FFFF0000"/>
        <rFont val="Meiryo UI"/>
        <family val="3"/>
        <charset val="128"/>
      </rPr>
      <t>弔電・供花の即日手配は承っておりません。</t>
    </r>
    <rPh sb="3" eb="5">
      <t>カキ</t>
    </rPh>
    <rPh sb="5" eb="7">
      <t>キカン</t>
    </rPh>
    <rPh sb="7" eb="8">
      <t>チュウ</t>
    </rPh>
    <rPh sb="9" eb="11">
      <t>ウケツケ</t>
    </rPh>
    <rPh sb="17" eb="19">
      <t>チョウデン</t>
    </rPh>
    <rPh sb="20" eb="22">
      <t>キョウカ</t>
    </rPh>
    <rPh sb="23" eb="25">
      <t>ソクジツ</t>
    </rPh>
    <rPh sb="25" eb="27">
      <t>テハイ</t>
    </rPh>
    <rPh sb="28" eb="29">
      <t>ウケタマワ</t>
    </rPh>
    <phoneticPr fontId="4"/>
  </si>
  <si>
    <t>年末休止期間：12月30日～1月3日</t>
    <rPh sb="0" eb="2">
      <t>ネンマツ</t>
    </rPh>
    <rPh sb="2" eb="4">
      <t>キュウシ</t>
    </rPh>
    <rPh sb="4" eb="6">
      <t>キカン</t>
    </rPh>
    <rPh sb="9" eb="10">
      <t>ガツ</t>
    </rPh>
    <rPh sb="12" eb="13">
      <t>ニチ</t>
    </rPh>
    <rPh sb="15" eb="16">
      <t>ガツ</t>
    </rPh>
    <rPh sb="17" eb="18">
      <t>ニチ</t>
    </rPh>
    <phoneticPr fontId="4"/>
  </si>
  <si>
    <t>弔電・供花のお届けは1月4日以降となります。</t>
    <rPh sb="3" eb="5">
      <t>キョウカ</t>
    </rPh>
    <phoneticPr fontId="4"/>
  </si>
  <si>
    <t>（注意2）</t>
    <rPh sb="1" eb="3">
      <t>チュウイ</t>
    </rPh>
    <phoneticPr fontId="4"/>
  </si>
  <si>
    <t>電話連絡は不要。緊急の場合のみ、下記へ連絡。</t>
    <phoneticPr fontId="4"/>
  </si>
  <si>
    <t>平日、休日、休暇（含む長期休暇）：090-9806-1751</t>
    <phoneticPr fontId="4"/>
  </si>
  <si>
    <t>（注意3）</t>
    <rPh sb="1" eb="3">
      <t>チュウイ</t>
    </rPh>
    <phoneticPr fontId="4"/>
  </si>
  <si>
    <t>出向者は出向元（在籍元）による対応となります。</t>
    <rPh sb="4" eb="7">
      <t>シュッコウモト</t>
    </rPh>
    <phoneticPr fontId="4"/>
  </si>
  <si>
    <t>（注意4）</t>
    <rPh sb="1" eb="3">
      <t>チュウイ</t>
    </rPh>
    <phoneticPr fontId="4"/>
  </si>
  <si>
    <r>
      <rPr>
        <b/>
        <sz val="11"/>
        <color rgb="FFFF0000"/>
        <rFont val="Meiryo UI"/>
        <family val="3"/>
        <charset val="128"/>
      </rPr>
      <t>オレンジ色のセル</t>
    </r>
    <r>
      <rPr>
        <sz val="11"/>
        <color rgb="FFFF0000"/>
        <rFont val="Meiryo UI"/>
        <family val="3"/>
        <charset val="128"/>
      </rPr>
      <t>は</t>
    </r>
    <r>
      <rPr>
        <b/>
        <sz val="11"/>
        <color rgb="FFFF0000"/>
        <rFont val="Meiryo UI"/>
        <family val="3"/>
        <charset val="128"/>
      </rPr>
      <t>入力必須項目</t>
    </r>
    <r>
      <rPr>
        <sz val="11"/>
        <color rgb="FFFF0000"/>
        <rFont val="Meiryo UI"/>
        <family val="3"/>
        <charset val="128"/>
      </rPr>
      <t>となっております。</t>
    </r>
    <rPh sb="4" eb="5">
      <t>イロ</t>
    </rPh>
    <rPh sb="9" eb="15">
      <t>ニュウリョクヒッスコウモク</t>
    </rPh>
    <phoneticPr fontId="4"/>
  </si>
  <si>
    <t>（注意5）</t>
    <rPh sb="1" eb="3">
      <t>チュウイ</t>
    </rPh>
    <phoneticPr fontId="4"/>
  </si>
  <si>
    <t>提出された弔事連絡票に基づいて対応しますので、入力・選択間違いの無い様、お願いします。</t>
    <rPh sb="26" eb="28">
      <t>センタク</t>
    </rPh>
    <rPh sb="32" eb="33">
      <t>ナ</t>
    </rPh>
    <rPh sb="34" eb="35">
      <t>ヨウ</t>
    </rPh>
    <phoneticPr fontId="4"/>
  </si>
  <si>
    <t>等級群、組合支部、従業員との関係などの間違いが多く見受けられますので、送信前にご確認お願いします。　</t>
    <phoneticPr fontId="4"/>
  </si>
  <si>
    <t>弔　事　連　絡　票</t>
    <rPh sb="0" eb="1">
      <t>チョウ</t>
    </rPh>
    <rPh sb="2" eb="3">
      <t>コト</t>
    </rPh>
    <rPh sb="4" eb="5">
      <t>レン</t>
    </rPh>
    <rPh sb="6" eb="7">
      <t>ラク</t>
    </rPh>
    <rPh sb="8" eb="9">
      <t>ヒョウ</t>
    </rPh>
    <phoneticPr fontId="4"/>
  </si>
  <si>
    <t>提出日</t>
    <rPh sb="0" eb="3">
      <t>テイシュツビ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</si>
  <si>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</si>
  <si>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</si>
  <si>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日</t>
    <rPh sb="0" eb="1">
      <t>ヒ</t>
    </rPh>
    <phoneticPr fontId="4"/>
  </si>
  <si>
    <t>フリガナ</t>
    <phoneticPr fontId="4"/>
  </si>
  <si>
    <t>PINナンバー</t>
    <phoneticPr fontId="4"/>
  </si>
  <si>
    <t>従業員氏名</t>
    <rPh sb="0" eb="5">
      <t>ジュウギョウインシメイ</t>
    </rPh>
    <phoneticPr fontId="4"/>
  </si>
  <si>
    <t>ご本人連絡先電話番号
（土日祝用）</t>
    <rPh sb="12" eb="13">
      <t>ド</t>
    </rPh>
    <rPh sb="14" eb="15">
      <t>シュク</t>
    </rPh>
    <phoneticPr fontId="4"/>
  </si>
  <si>
    <t>＊連絡先電話番号については、平日の場合は、入力不要です。</t>
    <rPh sb="1" eb="4">
      <t>レンラクサキ</t>
    </rPh>
    <rPh sb="4" eb="8">
      <t>デンワバンゴウ</t>
    </rPh>
    <rPh sb="14" eb="16">
      <t>ヘイジツ</t>
    </rPh>
    <rPh sb="17" eb="19">
      <t>バアイ</t>
    </rPh>
    <rPh sb="21" eb="23">
      <t>ニュウリョク</t>
    </rPh>
    <rPh sb="23" eb="25">
      <t>フヨウ</t>
    </rPh>
    <phoneticPr fontId="4"/>
  </si>
  <si>
    <t>＊土日祝日の場合、弔事担当より確認の電話をさせていただく場合があります。</t>
    <rPh sb="1" eb="4">
      <t>ドニチシュク</t>
    </rPh>
    <rPh sb="4" eb="5">
      <t>ヒ</t>
    </rPh>
    <phoneticPr fontId="4"/>
  </si>
  <si>
    <t>等級群</t>
    <rPh sb="0" eb="3">
      <t>トウキュウグン</t>
    </rPh>
    <phoneticPr fontId="4"/>
  </si>
  <si>
    <t>所属部署</t>
    <rPh sb="0" eb="2">
      <t>ショゾク</t>
    </rPh>
    <rPh sb="2" eb="4">
      <t>ブショ</t>
    </rPh>
    <phoneticPr fontId="4"/>
  </si>
  <si>
    <t>組合区分</t>
    <rPh sb="0" eb="4">
      <t>クミアイクブン</t>
    </rPh>
    <phoneticPr fontId="4"/>
  </si>
  <si>
    <t>従業員
との関係</t>
    <rPh sb="0" eb="3">
      <t>ジュウギョウイン</t>
    </rPh>
    <rPh sb="6" eb="8">
      <t>カンケイ</t>
    </rPh>
    <phoneticPr fontId="4"/>
  </si>
  <si>
    <t>血族／姻族</t>
    <phoneticPr fontId="4"/>
  </si>
  <si>
    <t>故人氏名</t>
    <rPh sb="0" eb="2">
      <t>コジン</t>
    </rPh>
    <rPh sb="2" eb="4">
      <t>シメイ</t>
    </rPh>
    <phoneticPr fontId="4"/>
  </si>
  <si>
    <t>同居／別居</t>
    <phoneticPr fontId="4"/>
  </si>
  <si>
    <t>お亡くなりになられた日</t>
    <rPh sb="1" eb="2">
      <t>ナ</t>
    </rPh>
    <rPh sb="10" eb="11">
      <t>ヒ</t>
    </rPh>
    <phoneticPr fontId="4"/>
  </si>
  <si>
    <t>曜日</t>
    <rPh sb="0" eb="2">
      <t>ヨウビ</t>
    </rPh>
    <phoneticPr fontId="4"/>
  </si>
  <si>
    <t>続柄</t>
    <phoneticPr fontId="4"/>
  </si>
  <si>
    <t>＊3項目すべて、選択入力願います。</t>
    <rPh sb="2" eb="4">
      <t>コウモク</t>
    </rPh>
    <rPh sb="8" eb="10">
      <t>センタク</t>
    </rPh>
    <rPh sb="10" eb="12">
      <t>ニュウリョク</t>
    </rPh>
    <rPh sb="12" eb="13">
      <t>ネガ</t>
    </rPh>
    <phoneticPr fontId="4"/>
  </si>
  <si>
    <t>家族・親族でパナソニック株式会社(各事業会社含む)に勤務されている方は、いらっしゃいますか？</t>
    <rPh sb="12" eb="16">
      <t>カブシキガイシャ</t>
    </rPh>
    <rPh sb="17" eb="18">
      <t>カク</t>
    </rPh>
    <rPh sb="18" eb="23">
      <t>ジギョウガイシャフク</t>
    </rPh>
    <rPh sb="33" eb="34">
      <t>カタ</t>
    </rPh>
    <phoneticPr fontId="4"/>
  </si>
  <si>
    <t>有／無</t>
    <rPh sb="0" eb="1">
      <t>ユウ</t>
    </rPh>
    <rPh sb="2" eb="3">
      <t>ム</t>
    </rPh>
    <phoneticPr fontId="4"/>
  </si>
  <si>
    <t>＊有の場合、以下入力願います。</t>
    <rPh sb="1" eb="2">
      <t>ユウ</t>
    </rPh>
    <rPh sb="3" eb="5">
      <t>バアイ</t>
    </rPh>
    <rPh sb="6" eb="8">
      <t>イカ</t>
    </rPh>
    <rPh sb="8" eb="10">
      <t>ニュウリョク</t>
    </rPh>
    <rPh sb="10" eb="11">
      <t>ネガ</t>
    </rPh>
    <phoneticPr fontId="4"/>
  </si>
  <si>
    <t>従業員との続柄</t>
    <rPh sb="0" eb="3">
      <t>ジュウギョウイン</t>
    </rPh>
    <rPh sb="5" eb="7">
      <t>ゾクガラ</t>
    </rPh>
    <phoneticPr fontId="4"/>
  </si>
  <si>
    <t>役職</t>
    <rPh sb="0" eb="2">
      <t>ヤクショク</t>
    </rPh>
    <phoneticPr fontId="4"/>
  </si>
  <si>
    <t>所属会社、事業場</t>
    <rPh sb="0" eb="2">
      <t>ショゾク</t>
    </rPh>
    <rPh sb="2" eb="4">
      <t>カイシャ</t>
    </rPh>
    <rPh sb="5" eb="8">
      <t>ジギョウジョウ</t>
    </rPh>
    <phoneticPr fontId="4"/>
  </si>
  <si>
    <t>　▼葬儀</t>
    <rPh sb="2" eb="4">
      <t>ソウギ</t>
    </rPh>
    <phoneticPr fontId="4"/>
  </si>
  <si>
    <t>通夜</t>
    <rPh sb="0" eb="2">
      <t>ツヤ</t>
    </rPh>
    <phoneticPr fontId="4"/>
  </si>
  <si>
    <t>日時</t>
    <rPh sb="0" eb="2">
      <t>ニチジ</t>
    </rPh>
    <phoneticPr fontId="4"/>
  </si>
  <si>
    <t>時</t>
    <rPh sb="0" eb="1">
      <t>ジ</t>
    </rPh>
    <phoneticPr fontId="4"/>
  </si>
  <si>
    <t>分～</t>
    <rPh sb="0" eb="1">
      <t>フン</t>
    </rPh>
    <phoneticPr fontId="4"/>
  </si>
  <si>
    <t>住所</t>
    <rPh sb="0" eb="2">
      <t>ジュウショ</t>
    </rPh>
    <phoneticPr fontId="4"/>
  </si>
  <si>
    <t>〒</t>
    <phoneticPr fontId="4"/>
  </si>
  <si>
    <t>電話番号</t>
    <rPh sb="0" eb="4">
      <t>デンワバンゴウ</t>
    </rPh>
    <phoneticPr fontId="4"/>
  </si>
  <si>
    <t>FAX番号</t>
    <rPh sb="3" eb="5">
      <t>バンゴウ</t>
    </rPh>
    <phoneticPr fontId="4"/>
  </si>
  <si>
    <t>式場名</t>
    <rPh sb="0" eb="2">
      <t>シキジョウ</t>
    </rPh>
    <rPh sb="2" eb="3">
      <t>メイ</t>
    </rPh>
    <phoneticPr fontId="4"/>
  </si>
  <si>
    <t>式場名</t>
    <rPh sb="0" eb="3">
      <t>シキジョウメイ</t>
    </rPh>
    <phoneticPr fontId="4"/>
  </si>
  <si>
    <t>告別式</t>
    <rPh sb="0" eb="3">
      <t>コクベツシキ</t>
    </rPh>
    <phoneticPr fontId="4"/>
  </si>
  <si>
    <t>告別式の情報について、お通夜と同一であれば、右欄をクリックし、チェックをしてください。
異なる場合は、右欄チェックは行わず、以下数式を無視し、直接情報入力をお願いします。</t>
    <rPh sb="0" eb="3">
      <t>コクベツシキ</t>
    </rPh>
    <rPh sb="4" eb="6">
      <t>ジョウホウ</t>
    </rPh>
    <rPh sb="12" eb="14">
      <t>ツヤ</t>
    </rPh>
    <rPh sb="15" eb="17">
      <t>ドウイツ</t>
    </rPh>
    <rPh sb="22" eb="24">
      <t>ウラン</t>
    </rPh>
    <rPh sb="44" eb="45">
      <t>コト</t>
    </rPh>
    <rPh sb="47" eb="49">
      <t>バアイ</t>
    </rPh>
    <rPh sb="51" eb="53">
      <t>ウラン</t>
    </rPh>
    <rPh sb="58" eb="59">
      <t>オコナ</t>
    </rPh>
    <rPh sb="62" eb="64">
      <t>イカ</t>
    </rPh>
    <rPh sb="64" eb="66">
      <t>スウシキ</t>
    </rPh>
    <rPh sb="67" eb="69">
      <t>ムシ</t>
    </rPh>
    <rPh sb="71" eb="77">
      <t>チョクセツジョウホウニュウリョク</t>
    </rPh>
    <rPh sb="79" eb="80">
      <t>ネガ</t>
    </rPh>
    <phoneticPr fontId="4"/>
  </si>
  <si>
    <t>→</t>
    <phoneticPr fontId="4"/>
  </si>
  <si>
    <t>喪主氏名</t>
    <rPh sb="0" eb="2">
      <t>モシュ</t>
    </rPh>
    <rPh sb="2" eb="4">
      <t>シメイ</t>
    </rPh>
    <phoneticPr fontId="4"/>
  </si>
  <si>
    <t>　▼特記事項等</t>
    <rPh sb="2" eb="6">
      <t>トッキジコウ</t>
    </rPh>
    <rPh sb="6" eb="7">
      <t>ナド</t>
    </rPh>
    <phoneticPr fontId="4"/>
  </si>
  <si>
    <t>特記事項</t>
    <rPh sb="0" eb="4">
      <t>トッキジコウ</t>
    </rPh>
    <phoneticPr fontId="4"/>
  </si>
  <si>
    <t>人事使用欄</t>
    <rPh sb="0" eb="2">
      <t>ジンジ</t>
    </rPh>
    <rPh sb="2" eb="5">
      <t>シヨウラン</t>
    </rPh>
    <phoneticPr fontId="4"/>
  </si>
  <si>
    <t>事業場決算コード</t>
    <rPh sb="0" eb="3">
      <t>ジギョウジョウ</t>
    </rPh>
    <rPh sb="3" eb="5">
      <t>ケッサン</t>
    </rPh>
    <phoneticPr fontId="4"/>
  </si>
  <si>
    <t>香典金額</t>
    <rPh sb="0" eb="4">
      <t>コウデンキンガク</t>
    </rPh>
    <phoneticPr fontId="4"/>
  </si>
  <si>
    <t>人事責任者</t>
    <rPh sb="0" eb="2">
      <t>ジンジ</t>
    </rPh>
    <rPh sb="2" eb="5">
      <t>セキニンシャ</t>
    </rPh>
    <phoneticPr fontId="4"/>
  </si>
  <si>
    <t>検印</t>
    <rPh sb="0" eb="2">
      <t>ケンイン</t>
    </rPh>
    <phoneticPr fontId="4"/>
  </si>
  <si>
    <t>担当者</t>
    <rPh sb="0" eb="3">
      <t>タントウシャ</t>
    </rPh>
    <phoneticPr fontId="4"/>
  </si>
  <si>
    <t>ジンジ　イチロウ</t>
  </si>
  <si>
    <t>人事　一郎</t>
    <rPh sb="3" eb="5">
      <t>イチロウ</t>
    </rPh>
    <phoneticPr fontId="4"/>
  </si>
  <si>
    <t>090-9806-1751</t>
  </si>
  <si>
    <t>一般社員</t>
  </si>
  <si>
    <t>○○部　△△課</t>
    <phoneticPr fontId="4"/>
  </si>
  <si>
    <t>組合</t>
  </si>
  <si>
    <t>ジンジ　ハナコ</t>
  </si>
  <si>
    <t>血族</t>
  </si>
  <si>
    <t>人事　花子</t>
    <rPh sb="0" eb="2">
      <t>ジンジ</t>
    </rPh>
    <rPh sb="3" eb="5">
      <t>ハナコ</t>
    </rPh>
    <phoneticPr fontId="4"/>
  </si>
  <si>
    <t>別居</t>
  </si>
  <si>
    <t>(土)</t>
  </si>
  <si>
    <t>実母</t>
  </si>
  <si>
    <t>有</t>
  </si>
  <si>
    <t>ジンジ　ジロウ</t>
  </si>
  <si>
    <t>実弟</t>
    <rPh sb="0" eb="2">
      <t>ジッテイ</t>
    </rPh>
    <phoneticPr fontId="4"/>
  </si>
  <si>
    <t>人事　次郎</t>
    <rPh sb="3" eb="5">
      <t>ジロウ</t>
    </rPh>
    <phoneticPr fontId="4"/>
  </si>
  <si>
    <t>一般社員</t>
    <rPh sb="0" eb="4">
      <t>イッパンシャイン</t>
    </rPh>
    <phoneticPr fontId="4"/>
  </si>
  <si>
    <t>くらしアプライアンス社　○○事業部</t>
    <rPh sb="10" eb="11">
      <t>シャ</t>
    </rPh>
    <rPh sb="14" eb="17">
      <t>ジギョウブ</t>
    </rPh>
    <phoneticPr fontId="4"/>
  </si>
  <si>
    <t>××部　△△課</t>
    <rPh sb="2" eb="3">
      <t>ブ</t>
    </rPh>
    <rPh sb="6" eb="7">
      <t>カ</t>
    </rPh>
    <phoneticPr fontId="4"/>
  </si>
  <si>
    <t>(月）</t>
  </si>
  <si>
    <t>30</t>
  </si>
  <si>
    <t>570-0021</t>
    <phoneticPr fontId="4"/>
  </si>
  <si>
    <t>090-1234-5678</t>
    <phoneticPr fontId="4"/>
  </si>
  <si>
    <t>オオサカフカドマシオオアザカドマ1048バンチ</t>
    <phoneticPr fontId="4"/>
  </si>
  <si>
    <t>大阪府門真市大字門真1048 番地</t>
    <phoneticPr fontId="4"/>
  </si>
  <si>
    <t>○○○○カイカン　カドマホール</t>
    <phoneticPr fontId="4"/>
  </si>
  <si>
    <t>○○○○会館　門真ホール</t>
    <rPh sb="7" eb="9">
      <t>カドマ</t>
    </rPh>
    <phoneticPr fontId="4"/>
  </si>
  <si>
    <t>(火)</t>
  </si>
  <si>
    <t>00</t>
    <phoneticPr fontId="4"/>
  </si>
  <si>
    <t>ジンジ　タロウ</t>
  </si>
  <si>
    <t>実父</t>
    <rPh sb="0" eb="2">
      <t>ジップ</t>
    </rPh>
    <phoneticPr fontId="4"/>
  </si>
  <si>
    <t>人事　太郎</t>
    <rPh sb="3" eb="5">
      <t>タロウ</t>
    </rPh>
    <phoneticPr fontId="4"/>
  </si>
  <si>
    <t>00000</t>
    <phoneticPr fontId="4"/>
  </si>
  <si>
    <t>★弔事基準</t>
    <rPh sb="1" eb="5">
      <t>チョウジキジュン</t>
    </rPh>
    <phoneticPr fontId="4"/>
  </si>
  <si>
    <t>◆弔電</t>
    <rPh sb="1" eb="3">
      <t>チョウデン</t>
    </rPh>
    <phoneticPr fontId="4"/>
  </si>
  <si>
    <t>◆供花</t>
    <rPh sb="1" eb="3">
      <t>キョウカ</t>
    </rPh>
    <phoneticPr fontId="4"/>
  </si>
  <si>
    <t>区分</t>
    <rPh sb="0" eb="2">
      <t>クブン</t>
    </rPh>
    <phoneticPr fontId="4"/>
  </si>
  <si>
    <t>パナソニック
社長名</t>
    <rPh sb="7" eb="10">
      <t>シャチョウメイ</t>
    </rPh>
    <phoneticPr fontId="4"/>
  </si>
  <si>
    <t>EW社長名</t>
    <rPh sb="2" eb="5">
      <t>シャチョウメイ</t>
    </rPh>
    <phoneticPr fontId="4"/>
  </si>
  <si>
    <t>EW社
役員一同名</t>
    <rPh sb="2" eb="3">
      <t>シャ</t>
    </rPh>
    <rPh sb="4" eb="9">
      <t>ヤクインイチドウメイ</t>
    </rPh>
    <phoneticPr fontId="4"/>
  </si>
  <si>
    <t>担当役員・
所属部門長名連名</t>
    <rPh sb="0" eb="2">
      <t>タントウ</t>
    </rPh>
    <rPh sb="2" eb="4">
      <t>ヤクイン</t>
    </rPh>
    <rPh sb="6" eb="12">
      <t>ショゾクブモンチョウメイ</t>
    </rPh>
    <rPh sb="12" eb="14">
      <t>レンメイ</t>
    </rPh>
    <phoneticPr fontId="4"/>
  </si>
  <si>
    <t>EW社長・
担当役員連名</t>
    <rPh sb="2" eb="4">
      <t>シャチョウ</t>
    </rPh>
    <rPh sb="6" eb="8">
      <t>タントウ</t>
    </rPh>
    <rPh sb="8" eb="10">
      <t>ヤクイン</t>
    </rPh>
    <rPh sb="10" eb="12">
      <t>レンメイ</t>
    </rPh>
    <phoneticPr fontId="4"/>
  </si>
  <si>
    <t>会社名</t>
    <rPh sb="0" eb="3">
      <t>カイシャメイ</t>
    </rPh>
    <phoneticPr fontId="4"/>
  </si>
  <si>
    <t>事業場名</t>
    <rPh sb="0" eb="4">
      <t>ジギョウジョウメイ</t>
    </rPh>
    <phoneticPr fontId="4"/>
  </si>
  <si>
    <t>経営職</t>
    <rPh sb="0" eb="3">
      <t>ケイエイショク</t>
    </rPh>
    <phoneticPr fontId="4"/>
  </si>
  <si>
    <t>本人</t>
    <rPh sb="0" eb="2">
      <t>ホンニン</t>
    </rPh>
    <phoneticPr fontId="4"/>
  </si>
  <si>
    <t>●</t>
  </si>
  <si>
    <t>—</t>
    <phoneticPr fontId="4"/>
  </si>
  <si>
    <t>配偶者・実父母・子女</t>
    <rPh sb="0" eb="3">
      <t>ハイグウシャ</t>
    </rPh>
    <rPh sb="4" eb="7">
      <t>ジツフボ</t>
    </rPh>
    <rPh sb="8" eb="10">
      <t>シジョ</t>
    </rPh>
    <phoneticPr fontId="4"/>
  </si>
  <si>
    <t>配偶者の父母</t>
    <rPh sb="0" eb="3">
      <t>ハイグウシャ</t>
    </rPh>
    <rPh sb="4" eb="6">
      <t>フボ</t>
    </rPh>
    <phoneticPr fontId="4"/>
  </si>
  <si>
    <t>▲</t>
  </si>
  <si>
    <t>祖父母・兄弟姉妹</t>
    <rPh sb="0" eb="3">
      <t>ソフボ</t>
    </rPh>
    <rPh sb="4" eb="8">
      <t>キョウダイシマイ</t>
    </rPh>
    <phoneticPr fontId="4"/>
  </si>
  <si>
    <t>■</t>
  </si>
  <si>
    <t>基幹職</t>
    <rPh sb="0" eb="3">
      <t>キカンショク</t>
    </rPh>
    <phoneticPr fontId="4"/>
  </si>
  <si>
    <t>—</t>
  </si>
  <si>
    <t>一般社員
定時社員
嘱託・雇員
NSP(月給)</t>
    <rPh sb="0" eb="4">
      <t>イッパンシャイン</t>
    </rPh>
    <rPh sb="5" eb="9">
      <t>テイジシャイン</t>
    </rPh>
    <rPh sb="10" eb="12">
      <t>ショクタク</t>
    </rPh>
    <rPh sb="13" eb="15">
      <t>コイン</t>
    </rPh>
    <rPh sb="20" eb="22">
      <t>ゲッキュウ</t>
    </rPh>
    <phoneticPr fontId="4"/>
  </si>
  <si>
    <t>臨時工
(除、日雇)
パートタイマー
NSP(時給)</t>
    <rPh sb="0" eb="3">
      <t>リンジコウ</t>
    </rPh>
    <rPh sb="5" eb="6">
      <t>ノゾ</t>
    </rPh>
    <rPh sb="7" eb="9">
      <t>ヒヤト</t>
    </rPh>
    <rPh sb="23" eb="25">
      <t>ジキュウ</t>
    </rPh>
    <phoneticPr fontId="4"/>
  </si>
  <si>
    <t>対象外</t>
    <rPh sb="0" eb="3">
      <t>タイショウガイ</t>
    </rPh>
    <phoneticPr fontId="4"/>
  </si>
  <si>
    <t>■：同一世帯または本人の扶養家族に限る。独身者は実家の世帯員を同一世帯とみなす。</t>
    <rPh sb="2" eb="6">
      <t>ドウイツセタイ</t>
    </rPh>
    <rPh sb="9" eb="11">
      <t>ホンニン</t>
    </rPh>
    <rPh sb="12" eb="16">
      <t>フヨウカゾク</t>
    </rPh>
    <rPh sb="17" eb="18">
      <t>カギ</t>
    </rPh>
    <rPh sb="20" eb="23">
      <t>ドクシンシャ</t>
    </rPh>
    <rPh sb="24" eb="26">
      <t>ジッカ</t>
    </rPh>
    <rPh sb="27" eb="30">
      <t>セタイイン</t>
    </rPh>
    <rPh sb="31" eb="35">
      <t>ドウイツセタイ</t>
    </rPh>
    <phoneticPr fontId="4"/>
  </si>
  <si>
    <t>▲：同居または喪主の場合のみ手配</t>
    <rPh sb="2" eb="4">
      <t>ドウキョ</t>
    </rPh>
    <phoneticPr fontId="4"/>
  </si>
  <si>
    <t>◆香典</t>
    <rPh sb="1" eb="3">
      <t>コウデン</t>
    </rPh>
    <phoneticPr fontId="4"/>
  </si>
  <si>
    <t>単位：万円</t>
    <rPh sb="0" eb="2">
      <t>タンイ</t>
    </rPh>
    <rPh sb="3" eb="5">
      <t>マンエン</t>
    </rPh>
    <phoneticPr fontId="4"/>
  </si>
  <si>
    <t>◆葬儀参列</t>
    <rPh sb="1" eb="5">
      <t>ソウギサンレツ</t>
    </rPh>
    <phoneticPr fontId="4"/>
  </si>
  <si>
    <t>配偶者</t>
    <rPh sb="0" eb="3">
      <t>ハイグウシャ</t>
    </rPh>
    <phoneticPr fontId="4"/>
  </si>
  <si>
    <t>実父母</t>
    <rPh sb="0" eb="3">
      <t>ジツフボ</t>
    </rPh>
    <phoneticPr fontId="4"/>
  </si>
  <si>
    <t>実子女</t>
    <rPh sb="0" eb="1">
      <t>ジツ</t>
    </rPh>
    <rPh sb="1" eb="3">
      <t>シジョ</t>
    </rPh>
    <phoneticPr fontId="4"/>
  </si>
  <si>
    <t>配偶者の
父母</t>
    <rPh sb="0" eb="3">
      <t>ハイグウシャ</t>
    </rPh>
    <rPh sb="5" eb="7">
      <t>フボ</t>
    </rPh>
    <phoneticPr fontId="4"/>
  </si>
  <si>
    <t>祖父母・
兄弟姉妹※</t>
    <rPh sb="0" eb="3">
      <t>ソフボ</t>
    </rPh>
    <rPh sb="5" eb="9">
      <t>キョウダイシマイ</t>
    </rPh>
    <phoneticPr fontId="4"/>
  </si>
  <si>
    <t>子女死産</t>
    <phoneticPr fontId="4"/>
  </si>
  <si>
    <t>担当役員</t>
    <rPh sb="0" eb="4">
      <t>タントウヤクイン</t>
    </rPh>
    <phoneticPr fontId="4"/>
  </si>
  <si>
    <t>所属部門長</t>
    <rPh sb="0" eb="5">
      <t>ショゾクブモンチョウ</t>
    </rPh>
    <phoneticPr fontId="4"/>
  </si>
  <si>
    <t>所属長</t>
    <rPh sb="0" eb="3">
      <t>ショゾクチョウ</t>
    </rPh>
    <phoneticPr fontId="4"/>
  </si>
  <si>
    <t>人事責任者</t>
    <rPh sb="0" eb="5">
      <t>ジンジセキニンシャ</t>
    </rPh>
    <phoneticPr fontId="4"/>
  </si>
  <si>
    <t>●</t>
    <phoneticPr fontId="4"/>
  </si>
  <si>
    <t>一般社員
定時社員
嘱託・雇員
NSP(月給)</t>
    <rPh sb="0" eb="4">
      <t>イッパンシャイン</t>
    </rPh>
    <rPh sb="5" eb="9">
      <t>テイジシャイン</t>
    </rPh>
    <rPh sb="10" eb="12">
      <t>ショクタク</t>
    </rPh>
    <rPh sb="13" eb="14">
      <t>ヤトイ</t>
    </rPh>
    <rPh sb="14" eb="15">
      <t>イン</t>
    </rPh>
    <rPh sb="20" eb="22">
      <t>ゲッキュウ</t>
    </rPh>
    <phoneticPr fontId="4"/>
  </si>
  <si>
    <t>●※</t>
    <phoneticPr fontId="4"/>
  </si>
  <si>
    <t>一般社員
定時社員
嘱託・雇員
NSP(月給)</t>
    <phoneticPr fontId="4"/>
  </si>
  <si>
    <t>本人</t>
    <phoneticPr fontId="4"/>
  </si>
  <si>
    <t>臨時工
(除、日雇)
NSP(時給)
パートタイマー</t>
    <rPh sb="0" eb="3">
      <t>リンジコウ</t>
    </rPh>
    <rPh sb="5" eb="6">
      <t>ノゾ</t>
    </rPh>
    <rPh sb="7" eb="9">
      <t>ヒヤト</t>
    </rPh>
    <rPh sb="15" eb="17">
      <t>ジキュウ</t>
    </rPh>
    <phoneticPr fontId="4"/>
  </si>
  <si>
    <t>配偶者・実父母・子女</t>
    <phoneticPr fontId="4"/>
  </si>
  <si>
    <t>臨時工
(除、日雇)
NSP(時給)
パートタイマー</t>
    <phoneticPr fontId="4"/>
  </si>
  <si>
    <t>・上記基準は喪主、非喪主を問わず適用する。</t>
    <rPh sb="1" eb="5">
      <t>ジョウキキジュン</t>
    </rPh>
    <rPh sb="6" eb="8">
      <t>モシュ</t>
    </rPh>
    <rPh sb="9" eb="12">
      <t>ヒモシュ</t>
    </rPh>
    <rPh sb="13" eb="14">
      <t>ト</t>
    </rPh>
    <rPh sb="16" eb="18">
      <t>テキヨウ</t>
    </rPh>
    <phoneticPr fontId="4"/>
  </si>
  <si>
    <t>・本人…通勤災害以外の業務外死亡の場合。(業務上は別途基準あり)</t>
    <rPh sb="1" eb="3">
      <t>ホンニン</t>
    </rPh>
    <rPh sb="4" eb="6">
      <t>ツウキン</t>
    </rPh>
    <rPh sb="6" eb="8">
      <t>サイガイ</t>
    </rPh>
    <rPh sb="8" eb="10">
      <t>イガイ</t>
    </rPh>
    <rPh sb="11" eb="16">
      <t>ギョウムガイシボウ</t>
    </rPh>
    <rPh sb="17" eb="19">
      <t>バアイ</t>
    </rPh>
    <rPh sb="21" eb="24">
      <t>ギョウムジョウ</t>
    </rPh>
    <rPh sb="25" eb="29">
      <t>ベットキジュン</t>
    </rPh>
    <phoneticPr fontId="4"/>
  </si>
  <si>
    <t>※同一世帯または本人の扶養家族に限る。独身者は実家の世帯員を同一世帯とみなす。</t>
    <rPh sb="1" eb="5">
      <t>ドウイツセタイ</t>
    </rPh>
    <rPh sb="8" eb="10">
      <t>ホンニン</t>
    </rPh>
    <rPh sb="11" eb="15">
      <t>フヨウカゾク</t>
    </rPh>
    <rPh sb="16" eb="17">
      <t>カギ</t>
    </rPh>
    <rPh sb="19" eb="22">
      <t>ドクシンシャ</t>
    </rPh>
    <rPh sb="23" eb="25">
      <t>ジッカ</t>
    </rPh>
    <rPh sb="26" eb="29">
      <t>セタイイン</t>
    </rPh>
    <rPh sb="30" eb="34">
      <t>ドウイツセタイ</t>
    </rPh>
    <phoneticPr fontId="4"/>
  </si>
  <si>
    <t>※実父母の場合の人事責任者の参列は、同居に限る。</t>
    <rPh sb="1" eb="4">
      <t>ジツフボ</t>
    </rPh>
    <rPh sb="5" eb="7">
      <t>バアイ</t>
    </rPh>
    <rPh sb="8" eb="13">
      <t>ジンジセキニンシャ</t>
    </rPh>
    <rPh sb="14" eb="16">
      <t>サンレツ</t>
    </rPh>
    <rPh sb="18" eb="20">
      <t>ドウキョ</t>
    </rPh>
    <rPh sb="21" eb="22">
      <t>カギ</t>
    </rPh>
    <phoneticPr fontId="4"/>
  </si>
  <si>
    <t>実母</t>
    <rPh sb="0" eb="2">
      <t>ジツボ</t>
    </rPh>
    <phoneticPr fontId="4"/>
  </si>
  <si>
    <t>実子</t>
    <rPh sb="0" eb="2">
      <t>ジッシ</t>
    </rPh>
    <phoneticPr fontId="4"/>
  </si>
  <si>
    <t>実女</t>
    <rPh sb="0" eb="1">
      <t>ジツ</t>
    </rPh>
    <rPh sb="1" eb="2">
      <t>オンナ</t>
    </rPh>
    <phoneticPr fontId="4"/>
  </si>
  <si>
    <t>義父</t>
    <rPh sb="0" eb="2">
      <t>ギフ</t>
    </rPh>
    <phoneticPr fontId="4"/>
  </si>
  <si>
    <t>義母</t>
    <rPh sb="0" eb="2">
      <t>ギボ</t>
    </rPh>
    <phoneticPr fontId="4"/>
  </si>
  <si>
    <t>祖父</t>
    <rPh sb="0" eb="2">
      <t>ソフ</t>
    </rPh>
    <phoneticPr fontId="4"/>
  </si>
  <si>
    <t>祖母</t>
    <rPh sb="0" eb="2">
      <t>ソボ</t>
    </rPh>
    <phoneticPr fontId="4"/>
  </si>
  <si>
    <t>実兄</t>
    <rPh sb="0" eb="1">
      <t>ジツ</t>
    </rPh>
    <rPh sb="1" eb="2">
      <t>アニ</t>
    </rPh>
    <phoneticPr fontId="4"/>
  </si>
  <si>
    <t>実弟</t>
    <rPh sb="0" eb="1">
      <t>ジツ</t>
    </rPh>
    <rPh sb="1" eb="2">
      <t>オトウト</t>
    </rPh>
    <phoneticPr fontId="4"/>
  </si>
  <si>
    <t>実姉</t>
    <rPh sb="0" eb="1">
      <t>ジツ</t>
    </rPh>
    <rPh sb="1" eb="2">
      <t>アネ</t>
    </rPh>
    <phoneticPr fontId="4"/>
  </si>
  <si>
    <t>実妹</t>
    <rPh sb="0" eb="1">
      <t>ジツ</t>
    </rPh>
    <rPh sb="1" eb="2">
      <t>イモウト</t>
    </rPh>
    <phoneticPr fontId="4"/>
  </si>
  <si>
    <t>子女(死産)</t>
    <rPh sb="0" eb="2">
      <t>シジョ</t>
    </rPh>
    <rPh sb="3" eb="5">
      <t>シザン</t>
    </rPh>
    <phoneticPr fontId="4"/>
  </si>
  <si>
    <t>一般社員</t>
    <rPh sb="0" eb="2">
      <t>イッパン</t>
    </rPh>
    <rPh sb="2" eb="4">
      <t>シャイン</t>
    </rPh>
    <phoneticPr fontId="4"/>
  </si>
  <si>
    <t>同居</t>
    <rPh sb="0" eb="2">
      <t>ドウキョ</t>
    </rPh>
    <phoneticPr fontId="4"/>
  </si>
  <si>
    <t>同居／別居</t>
  </si>
  <si>
    <t>別居</t>
    <rPh sb="0" eb="2">
      <t>ベッキョ</t>
    </rPh>
    <phoneticPr fontId="4"/>
  </si>
  <si>
    <t>続柄</t>
  </si>
  <si>
    <t>主務職</t>
    <rPh sb="0" eb="3">
      <t>シュムショク</t>
    </rPh>
    <phoneticPr fontId="4"/>
  </si>
  <si>
    <t>NSPフル</t>
    <phoneticPr fontId="4"/>
  </si>
  <si>
    <t>NSPパート</t>
    <phoneticPr fontId="4"/>
  </si>
  <si>
    <t>非常勤嘱託</t>
    <rPh sb="0" eb="5">
      <t>ヒジョウキンショクタク</t>
    </rPh>
    <phoneticPr fontId="4"/>
  </si>
  <si>
    <t>常勤嘱託</t>
    <phoneticPr fontId="4"/>
  </si>
  <si>
    <t>パートタイマー</t>
    <phoneticPr fontId="4"/>
  </si>
  <si>
    <t>宗旨　　　※例）仏式</t>
    <rPh sb="0" eb="2">
      <t>シュウシ</t>
    </rPh>
    <rPh sb="6" eb="7">
      <t>レイ</t>
    </rPh>
    <rPh sb="8" eb="10">
      <t>ブッシキ</t>
    </rPh>
    <phoneticPr fontId="4"/>
  </si>
  <si>
    <t>宗旨　　※例）仏式</t>
    <rPh sb="0" eb="2">
      <t>シュウシ</t>
    </rPh>
    <rPh sb="5" eb="6">
      <t>レイ</t>
    </rPh>
    <rPh sb="7" eb="9">
      <t>ブッシキ</t>
    </rPh>
    <phoneticPr fontId="4"/>
  </si>
  <si>
    <t>浄土真宗</t>
    <rPh sb="0" eb="4">
      <t>ジョウドシンシュウ</t>
    </rPh>
    <phoneticPr fontId="4"/>
  </si>
  <si>
    <t>〈弔電〉</t>
    <rPh sb="1" eb="3">
      <t>チョウデン</t>
    </rPh>
    <phoneticPr fontId="4"/>
  </si>
  <si>
    <t>会社/組合/個人（職場）から全て可</t>
    <rPh sb="0" eb="2">
      <t>カイシャ</t>
    </rPh>
    <rPh sb="3" eb="5">
      <t>クミアイ</t>
    </rPh>
    <rPh sb="6" eb="8">
      <t>コジン</t>
    </rPh>
    <rPh sb="9" eb="11">
      <t>ショクバ</t>
    </rPh>
    <rPh sb="14" eb="15">
      <t>スベ</t>
    </rPh>
    <rPh sb="16" eb="17">
      <t>カ</t>
    </rPh>
    <phoneticPr fontId="4"/>
  </si>
  <si>
    <t>会社/組合のみ可</t>
  </si>
  <si>
    <t>会社/組合のみ可</t>
    <rPh sb="0" eb="2">
      <t>カイシャ</t>
    </rPh>
    <rPh sb="3" eb="5">
      <t>クミアイ</t>
    </rPh>
    <rPh sb="7" eb="8">
      <t>カ</t>
    </rPh>
    <phoneticPr fontId="4"/>
  </si>
  <si>
    <t>会社/組合/個人（職場）から全て辞退</t>
    <rPh sb="0" eb="2">
      <t>カイシャ</t>
    </rPh>
    <rPh sb="3" eb="5">
      <t>クミアイ</t>
    </rPh>
    <rPh sb="6" eb="8">
      <t>コジン</t>
    </rPh>
    <rPh sb="9" eb="11">
      <t>ショクバ</t>
    </rPh>
    <rPh sb="14" eb="15">
      <t>スベ</t>
    </rPh>
    <rPh sb="16" eb="18">
      <t>ジタイ</t>
    </rPh>
    <phoneticPr fontId="4"/>
  </si>
  <si>
    <t>〈供花〉</t>
    <rPh sb="1" eb="3">
      <t>キョウカ</t>
    </rPh>
    <phoneticPr fontId="4"/>
  </si>
  <si>
    <t>〈参列〉</t>
    <rPh sb="1" eb="3">
      <t>サンレツ</t>
    </rPh>
    <phoneticPr fontId="4"/>
  </si>
  <si>
    <t>〈お香典〉</t>
    <rPh sb="2" eb="4">
      <t>コウデン</t>
    </rPh>
    <phoneticPr fontId="4"/>
  </si>
  <si>
    <t>個人〈職場〉からのものは辞退 ～ご辞退の場合でも会社分はお受取りください～</t>
    <rPh sb="0" eb="2">
      <t>コジン</t>
    </rPh>
    <rPh sb="3" eb="5">
      <t>ショクバ</t>
    </rPh>
    <rPh sb="12" eb="14">
      <t>ジタイ</t>
    </rPh>
    <rPh sb="17" eb="19">
      <t>ジタイ</t>
    </rPh>
    <rPh sb="20" eb="22">
      <t>バアイ</t>
    </rPh>
    <rPh sb="24" eb="27">
      <t>カイシャブン</t>
    </rPh>
    <rPh sb="29" eb="31">
      <t>ウケト</t>
    </rPh>
    <phoneticPr fontId="4"/>
  </si>
  <si>
    <t>弔問(参列)</t>
    <rPh sb="0" eb="2">
      <t>チョウモン</t>
    </rPh>
    <rPh sb="3" eb="5">
      <t>サンレツ</t>
    </rPh>
    <phoneticPr fontId="4"/>
  </si>
  <si>
    <r>
      <rPr>
        <b/>
        <sz val="11"/>
        <color rgb="FFFF0000"/>
        <rFont val="Meiryo UI"/>
        <family val="3"/>
        <charset val="128"/>
      </rPr>
      <t>個人(職場)</t>
    </r>
    <r>
      <rPr>
        <b/>
        <sz val="11"/>
        <rFont val="Meiryo UI"/>
        <family val="3"/>
        <charset val="128"/>
      </rPr>
      <t>からの</t>
    </r>
    <r>
      <rPr>
        <b/>
        <u/>
        <sz val="11"/>
        <color rgb="FFFF0000"/>
        <rFont val="Meiryo UI"/>
        <family val="3"/>
        <charset val="128"/>
      </rPr>
      <t>御香典</t>
    </r>
    <rPh sb="9" eb="12">
      <t>ゴコウデン</t>
    </rPh>
    <phoneticPr fontId="4"/>
  </si>
  <si>
    <r>
      <rPr>
        <b/>
        <sz val="11"/>
        <color rgb="FFFF0000"/>
        <rFont val="Meiryo UI"/>
        <family val="3"/>
        <charset val="128"/>
      </rPr>
      <t>会社、組合、個人(職場)</t>
    </r>
    <r>
      <rPr>
        <b/>
        <sz val="11"/>
        <rFont val="Meiryo UI"/>
        <family val="3"/>
        <charset val="128"/>
      </rPr>
      <t xml:space="preserve">からの
</t>
    </r>
    <r>
      <rPr>
        <b/>
        <u/>
        <sz val="11"/>
        <color rgb="FFFF0000"/>
        <rFont val="Meiryo UI"/>
        <family val="3"/>
        <charset val="128"/>
      </rPr>
      <t>弔電手配</t>
    </r>
    <rPh sb="0" eb="2">
      <t>カイシャ</t>
    </rPh>
    <rPh sb="3" eb="5">
      <t>クミアイ</t>
    </rPh>
    <rPh sb="6" eb="8">
      <t>コジン</t>
    </rPh>
    <rPh sb="9" eb="11">
      <t>ショクバ</t>
    </rPh>
    <rPh sb="16" eb="18">
      <t>チョウデン</t>
    </rPh>
    <rPh sb="18" eb="20">
      <t>テハイ</t>
    </rPh>
    <phoneticPr fontId="4"/>
  </si>
  <si>
    <r>
      <rPr>
        <b/>
        <sz val="11"/>
        <color rgb="FFFF0000"/>
        <rFont val="Meiryo UI"/>
        <family val="3"/>
        <charset val="128"/>
      </rPr>
      <t>会社、組合、個人(職場)</t>
    </r>
    <r>
      <rPr>
        <b/>
        <sz val="11"/>
        <rFont val="Meiryo UI"/>
        <family val="3"/>
        <charset val="128"/>
      </rPr>
      <t xml:space="preserve">からの
</t>
    </r>
    <r>
      <rPr>
        <b/>
        <u/>
        <sz val="11"/>
        <color rgb="FFFF0000"/>
        <rFont val="Meiryo UI"/>
        <family val="3"/>
        <charset val="128"/>
      </rPr>
      <t>供花手配</t>
    </r>
    <rPh sb="0" eb="2">
      <t>カイシャ</t>
    </rPh>
    <rPh sb="3" eb="5">
      <t>クミアイ</t>
    </rPh>
    <rPh sb="6" eb="8">
      <t>コジン</t>
    </rPh>
    <rPh sb="9" eb="11">
      <t>ショクバ</t>
    </rPh>
    <rPh sb="16" eb="18">
      <t>キョウカ</t>
    </rPh>
    <rPh sb="18" eb="20">
      <t>テハイ</t>
    </rPh>
    <phoneticPr fontId="4"/>
  </si>
  <si>
    <t>個人(職場)からのものは辞退</t>
  </si>
  <si>
    <t>勤務地</t>
    <phoneticPr fontId="4"/>
  </si>
  <si>
    <t>ライティング事業部</t>
    <rPh sb="6" eb="9">
      <t>ジギョウブ</t>
    </rPh>
    <phoneticPr fontId="4"/>
  </si>
  <si>
    <t>在籍事業場</t>
    <rPh sb="0" eb="2">
      <t>ザイセキ</t>
    </rPh>
    <rPh sb="2" eb="5">
      <t>ジギョウジョウ</t>
    </rPh>
    <phoneticPr fontId="4"/>
  </si>
  <si>
    <t>電材＆くらしエネルギー事業部</t>
    <rPh sb="0" eb="2">
      <t>デンザイ</t>
    </rPh>
    <rPh sb="11" eb="14">
      <t>ジギョウブ</t>
    </rPh>
    <phoneticPr fontId="4"/>
  </si>
  <si>
    <t>マーケティング本部</t>
    <rPh sb="7" eb="9">
      <t>ホンブ</t>
    </rPh>
    <phoneticPr fontId="4"/>
  </si>
  <si>
    <t>新潟工場</t>
    <rPh sb="0" eb="4">
      <t>ニイガタコウジョウ</t>
    </rPh>
    <phoneticPr fontId="4"/>
  </si>
  <si>
    <t>その他（新潟工場以外）</t>
    <rPh sb="2" eb="3">
      <t>タ</t>
    </rPh>
    <rPh sb="4" eb="6">
      <t>ニイガタ</t>
    </rPh>
    <rPh sb="6" eb="8">
      <t>コウジョウ</t>
    </rPh>
    <rPh sb="8" eb="10">
      <t>イガイ</t>
    </rPh>
    <phoneticPr fontId="4"/>
  </si>
  <si>
    <t>直轄部門</t>
    <rPh sb="0" eb="4">
      <t>チョッカツブモン</t>
    </rPh>
    <phoneticPr fontId="4"/>
  </si>
  <si>
    <t>門真</t>
    <rPh sb="0" eb="2">
      <t>カドマ</t>
    </rPh>
    <phoneticPr fontId="4"/>
  </si>
  <si>
    <t>汐留</t>
    <rPh sb="0" eb="2">
      <t>シオドメ</t>
    </rPh>
    <phoneticPr fontId="4"/>
  </si>
  <si>
    <t>ソリューションエンジニアリング本部</t>
    <rPh sb="15" eb="17">
      <t>ホンブ</t>
    </rPh>
    <phoneticPr fontId="4"/>
  </si>
  <si>
    <t>技術部門(品質・知財含む）</t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</si>
  <si>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</si>
  <si>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</si>
  <si>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</si>
  <si>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</si>
  <si>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⑤</t>
    <phoneticPr fontId="4"/>
  </si>
  <si>
    <t>⑥</t>
    <phoneticPr fontId="4"/>
  </si>
  <si>
    <t>■在籍事業場</t>
    <rPh sb="1" eb="3">
      <t>ザイセキ</t>
    </rPh>
    <rPh sb="3" eb="6">
      <t>ジギョウジョウ</t>
    </rPh>
    <phoneticPr fontId="4"/>
  </si>
  <si>
    <t>選択内容⇒</t>
    <rPh sb="0" eb="2">
      <t>センタク</t>
    </rPh>
    <rPh sb="2" eb="4">
      <t>ナイヨウ</t>
    </rPh>
    <phoneticPr fontId="4"/>
  </si>
  <si>
    <t>勤務地（AD列～AF列）を名前をAC列の名前で設定</t>
    <rPh sb="0" eb="3">
      <t>キンムチ</t>
    </rPh>
    <rPh sb="6" eb="7">
      <t>レツ</t>
    </rPh>
    <rPh sb="10" eb="11">
      <t>レツ</t>
    </rPh>
    <rPh sb="13" eb="15">
      <t>ナマエ</t>
    </rPh>
    <rPh sb="18" eb="19">
      <t>レツ</t>
    </rPh>
    <rPh sb="20" eb="22">
      <t>ナマエ</t>
    </rPh>
    <rPh sb="23" eb="25">
      <t>セッテイ</t>
    </rPh>
    <phoneticPr fontId="4"/>
  </si>
  <si>
    <t>電材＆くらしエネルギー事業部</t>
    <rPh sb="0" eb="2">
      <t>デンザイ</t>
    </rPh>
    <rPh sb="11" eb="13">
      <t>ジギョウ</t>
    </rPh>
    <rPh sb="13" eb="14">
      <t>ブ</t>
    </rPh>
    <phoneticPr fontId="4"/>
  </si>
  <si>
    <t>津工場</t>
    <rPh sb="0" eb="3">
      <t>ツコウジョウ</t>
    </rPh>
    <phoneticPr fontId="4"/>
  </si>
  <si>
    <t>会社/組合/個人(職場)から全て辞退</t>
  </si>
  <si>
    <t>可</t>
  </si>
  <si>
    <t>ｶﾜﾊﾗ　ﾂﾖｼ</t>
    <phoneticPr fontId="4"/>
  </si>
  <si>
    <t>川原　剛</t>
    <rPh sb="0" eb="2">
      <t>カワハラ</t>
    </rPh>
    <rPh sb="3" eb="4">
      <t>ツヨシ</t>
    </rPh>
    <phoneticPr fontId="4"/>
  </si>
  <si>
    <t>090-4055-2591</t>
    <phoneticPr fontId="4"/>
  </si>
  <si>
    <t>マーケティング本部</t>
  </si>
  <si>
    <t>主務職</t>
  </si>
  <si>
    <t>岡崎電材営業所</t>
    <rPh sb="0" eb="7">
      <t>オカザキデンザイエイギョウショ</t>
    </rPh>
    <phoneticPr fontId="4"/>
  </si>
  <si>
    <t>愛知県岡崎市</t>
    <rPh sb="0" eb="3">
      <t>アイチケン</t>
    </rPh>
    <rPh sb="3" eb="6">
      <t>オカザキシ</t>
    </rPh>
    <phoneticPr fontId="4"/>
  </si>
  <si>
    <t>ｶﾜﾊﾗ　ｼｮｳｲﾁ</t>
    <phoneticPr fontId="4"/>
  </si>
  <si>
    <t>川原　省一</t>
    <rPh sb="0" eb="2">
      <t>カワハラ</t>
    </rPh>
    <rPh sb="3" eb="5">
      <t>ショウイチ</t>
    </rPh>
    <phoneticPr fontId="4"/>
  </si>
  <si>
    <t>実父</t>
  </si>
  <si>
    <t>(金)</t>
  </si>
  <si>
    <t>無</t>
  </si>
  <si>
    <t>(水)</t>
  </si>
  <si>
    <t>埼玉県三郷市茂田井１５</t>
    <rPh sb="0" eb="3">
      <t>サイタマケン</t>
    </rPh>
    <rPh sb="3" eb="6">
      <t>ミサトシ</t>
    </rPh>
    <rPh sb="6" eb="9">
      <t>モタイ</t>
    </rPh>
    <phoneticPr fontId="4"/>
  </si>
  <si>
    <t>341-0025</t>
    <phoneticPr fontId="4"/>
  </si>
  <si>
    <t>048-952-5885</t>
    <phoneticPr fontId="4"/>
  </si>
  <si>
    <t>ｻｲﾀﾏｹﾝﾐｻﾄｼﾓﾀｲ</t>
    <phoneticPr fontId="4"/>
  </si>
  <si>
    <t>三郷市斎場</t>
    <rPh sb="0" eb="3">
      <t>ミサトシ</t>
    </rPh>
    <rPh sb="3" eb="5">
      <t>サイジョウ</t>
    </rPh>
    <phoneticPr fontId="4"/>
  </si>
  <si>
    <t>ﾐｻﾄｼｻｲｼﾞｮｳ</t>
    <phoneticPr fontId="4"/>
  </si>
  <si>
    <t>仏式</t>
    <rPh sb="0" eb="2">
      <t>ブツシキ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</si>
</sst>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 "/>
  </numFmts>
  <fonts count="32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4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u/>
      <sz val="11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0" tint="-0.499984740745262"/>
      <name val="Meiryo UI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8.25"/>
      <color indexed="12"/>
      <name val="ＭＳ Ｐゴシック"/>
      <family val="3"/>
      <charset val="128"/>
    </font>
    <font>
      <sz val="11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u/>
      <sz val="16"/>
      <color theme="10"/>
      <name val="ＭＳ Ｐゴシック"/>
      <family val="3"/>
      <charset val="128"/>
      <scheme val="minor"/>
    </font>
    <font>
      <sz val="9"/>
      <color rgb="FF000000"/>
      <name val="Meiryo UI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4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/>
    <xf numFmtId="0" fontId="6" fillId="0" borderId="0"/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</cellStyleXfs>
  <cellXfs count="24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8" fillId="0" borderId="12" xfId="0" applyFont="1" applyBorder="1">
      <alignment vertical="center"/>
    </xf>
    <xf numFmtId="0" fontId="8" fillId="2" borderId="15" xfId="0" applyFont="1" applyFill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2" borderId="9" xfId="0" applyFont="1" applyFill="1" applyBorder="1">
      <alignment vertical="center"/>
    </xf>
    <xf numFmtId="0" fontId="8" fillId="2" borderId="19" xfId="0" applyFont="1" applyFill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4" fillId="5" borderId="0" xfId="0" applyFont="1" applyFill="1">
      <alignment vertical="center"/>
    </xf>
    <xf numFmtId="0" fontId="8" fillId="5" borderId="0" xfId="0" applyFont="1" applyFill="1">
      <alignment vertical="center"/>
    </xf>
    <xf numFmtId="0" fontId="13" fillId="5" borderId="0" xfId="0" applyFont="1" applyFill="1">
      <alignment vertical="center"/>
    </xf>
    <xf numFmtId="176" fontId="8" fillId="0" borderId="0" xfId="0" applyNumberFormat="1" applyFont="1">
      <alignment vertical="center"/>
    </xf>
    <xf numFmtId="176" fontId="8" fillId="5" borderId="13" xfId="0" applyNumberFormat="1" applyFont="1" applyFill="1" applyBorder="1">
      <alignment vertical="center"/>
    </xf>
    <xf numFmtId="0" fontId="8" fillId="0" borderId="0" xfId="0" applyFont="1" applyAlignment="1">
      <alignment horizontal="right" vertical="center"/>
    </xf>
    <xf numFmtId="0" fontId="20" fillId="0" borderId="1" xfId="0" applyFont="1" applyBorder="1">
      <alignment vertical="center"/>
    </xf>
    <xf numFmtId="0" fontId="8" fillId="2" borderId="9" xfId="0" applyFont="1" applyFill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shrinkToFit="1"/>
    </xf>
    <xf numFmtId="0" fontId="21" fillId="0" borderId="0" xfId="0" applyFont="1">
      <alignment vertical="center"/>
    </xf>
    <xf numFmtId="0" fontId="8" fillId="6" borderId="0" xfId="0" applyFont="1" applyFill="1">
      <alignment vertical="center"/>
    </xf>
    <xf numFmtId="0" fontId="25" fillId="6" borderId="0" xfId="0" applyFont="1" applyFill="1">
      <alignment vertical="center"/>
    </xf>
    <xf numFmtId="0" fontId="24" fillId="6" borderId="0" xfId="0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/>
    </xf>
    <xf numFmtId="0" fontId="8" fillId="6" borderId="50" xfId="0" applyFont="1" applyFill="1" applyBorder="1" applyAlignment="1">
      <alignment horizontal="center" vertical="center"/>
    </xf>
    <xf numFmtId="0" fontId="8" fillId="6" borderId="52" xfId="0" applyFont="1" applyFill="1" applyBorder="1" applyAlignment="1">
      <alignment horizontal="center" vertical="center"/>
    </xf>
    <xf numFmtId="0" fontId="8" fillId="6" borderId="54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8" fillId="6" borderId="59" xfId="0" applyFont="1" applyFill="1" applyBorder="1" applyAlignment="1">
      <alignment horizontal="center" vertical="center" wrapText="1"/>
    </xf>
    <xf numFmtId="0" fontId="8" fillId="6" borderId="41" xfId="0" applyFont="1" applyFill="1" applyBorder="1" applyAlignment="1">
      <alignment horizontal="center" vertical="center" wrapText="1"/>
    </xf>
    <xf numFmtId="0" fontId="8" fillId="6" borderId="61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62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59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/>
    </xf>
    <xf numFmtId="0" fontId="8" fillId="6" borderId="64" xfId="0" applyFont="1" applyFill="1" applyBorder="1" applyAlignment="1">
      <alignment horizontal="center" vertical="center"/>
    </xf>
    <xf numFmtId="0" fontId="8" fillId="6" borderId="65" xfId="0" applyFont="1" applyFill="1" applyBorder="1" applyAlignment="1">
      <alignment horizontal="center" vertical="center" wrapText="1"/>
    </xf>
    <xf numFmtId="0" fontId="8" fillId="6" borderId="65" xfId="0" applyFont="1" applyFill="1" applyBorder="1" applyAlignment="1">
      <alignment horizontal="center" vertical="center"/>
    </xf>
    <xf numFmtId="0" fontId="8" fillId="6" borderId="66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/>
    </xf>
    <xf numFmtId="0" fontId="8" fillId="6" borderId="76" xfId="0" applyFont="1" applyFill="1" applyBorder="1" applyAlignment="1">
      <alignment horizontal="center" vertical="center"/>
    </xf>
    <xf numFmtId="0" fontId="8" fillId="6" borderId="66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6" fillId="5" borderId="0" xfId="4" applyFont="1" applyFill="1" applyBorder="1" applyAlignment="1">
      <alignment horizontal="left" vertical="center"/>
    </xf>
    <xf numFmtId="0" fontId="5" fillId="5" borderId="0" xfId="11" applyFill="1" applyBorder="1" applyAlignment="1">
      <alignment horizontal="left" vertical="center"/>
    </xf>
    <xf numFmtId="0" fontId="28" fillId="0" borderId="0" xfId="0" applyFont="1">
      <alignment vertical="center"/>
    </xf>
    <xf numFmtId="0" fontId="8" fillId="9" borderId="0" xfId="0" applyFont="1" applyFill="1">
      <alignment vertical="center"/>
    </xf>
    <xf numFmtId="0" fontId="11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8" fillId="10" borderId="0" xfId="0" applyFont="1" applyFill="1">
      <alignment vertical="center"/>
    </xf>
    <xf numFmtId="0" fontId="8" fillId="2" borderId="11" xfId="0" applyFont="1" applyFill="1" applyBorder="1" applyAlignment="1">
      <alignment horizontal="left" vertical="center" indent="1"/>
    </xf>
    <xf numFmtId="0" fontId="8" fillId="2" borderId="9" xfId="0" applyFont="1" applyFill="1" applyBorder="1" applyAlignment="1">
      <alignment horizontal="left" vertical="center" indent="1"/>
    </xf>
    <xf numFmtId="0" fontId="31" fillId="8" borderId="9" xfId="0" applyFont="1" applyFill="1" applyBorder="1" applyAlignment="1">
      <alignment horizontal="center" vertical="center" shrinkToFit="1"/>
    </xf>
    <xf numFmtId="0" fontId="31" fillId="8" borderId="12" xfId="0" applyFont="1" applyFill="1" applyBorder="1" applyAlignment="1">
      <alignment horizontal="center" vertical="center" shrinkToFit="1"/>
    </xf>
    <xf numFmtId="0" fontId="8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5" fontId="8" fillId="0" borderId="15" xfId="0" applyNumberFormat="1" applyFont="1" applyBorder="1" applyAlignment="1">
      <alignment horizontal="right" vertical="center" indent="1"/>
    </xf>
    <xf numFmtId="5" fontId="8" fillId="0" borderId="16" xfId="0" applyNumberFormat="1" applyFont="1" applyBorder="1" applyAlignment="1">
      <alignment horizontal="right" vertical="center" indent="1"/>
    </xf>
    <xf numFmtId="0" fontId="8" fillId="3" borderId="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0" fontId="8" fillId="2" borderId="18" xfId="0" applyFont="1" applyFill="1" applyBorder="1" applyAlignment="1">
      <alignment horizontal="left" vertical="center" indent="1"/>
    </xf>
    <xf numFmtId="0" fontId="8" fillId="2" borderId="19" xfId="0" applyFont="1" applyFill="1" applyBorder="1" applyAlignment="1">
      <alignment horizontal="left" vertical="center" indent="1"/>
    </xf>
    <xf numFmtId="0" fontId="9" fillId="0" borderId="19" xfId="0" applyFont="1" applyBorder="1" applyAlignment="1">
      <alignment horizontal="left" vertical="center" indent="1" shrinkToFit="1"/>
    </xf>
    <xf numFmtId="0" fontId="9" fillId="0" borderId="20" xfId="0" applyFont="1" applyBorder="1" applyAlignment="1">
      <alignment horizontal="left" vertical="center" indent="1" shrinkToFit="1"/>
    </xf>
    <xf numFmtId="49" fontId="9" fillId="0" borderId="9" xfId="0" applyNumberFormat="1" applyFont="1" applyBorder="1" applyAlignment="1">
      <alignment horizontal="left" vertical="center" indent="1" shrinkToFit="1"/>
    </xf>
    <xf numFmtId="49" fontId="9" fillId="0" borderId="12" xfId="0" applyNumberFormat="1" applyFont="1" applyBorder="1" applyAlignment="1">
      <alignment horizontal="left" vertical="center" indent="1" shrinkToFit="1"/>
    </xf>
    <xf numFmtId="0" fontId="8" fillId="2" borderId="14" xfId="0" applyFont="1" applyFill="1" applyBorder="1" applyAlignment="1">
      <alignment horizontal="left" vertical="center" indent="1"/>
    </xf>
    <xf numFmtId="0" fontId="8" fillId="2" borderId="15" xfId="0" applyFont="1" applyFill="1" applyBorder="1" applyAlignment="1">
      <alignment horizontal="left" vertical="center" indent="1"/>
    </xf>
    <xf numFmtId="0" fontId="9" fillId="0" borderId="21" xfId="0" applyFont="1" applyBorder="1" applyAlignment="1">
      <alignment horizontal="left" vertical="center" indent="1" shrinkToFit="1"/>
    </xf>
    <xf numFmtId="0" fontId="9" fillId="0" borderId="22" xfId="0" applyFont="1" applyBorder="1" applyAlignment="1">
      <alignment horizontal="left" vertical="center" indent="1" shrinkToFit="1"/>
    </xf>
    <xf numFmtId="0" fontId="10" fillId="0" borderId="19" xfId="0" applyFont="1" applyBorder="1" applyAlignment="1">
      <alignment horizontal="left" vertical="center" indent="1" shrinkToFit="1"/>
    </xf>
    <xf numFmtId="0" fontId="10" fillId="0" borderId="20" xfId="0" applyFont="1" applyBorder="1" applyAlignment="1">
      <alignment horizontal="left" vertical="center" indent="1" shrinkToFit="1"/>
    </xf>
    <xf numFmtId="0" fontId="8" fillId="2" borderId="0" xfId="0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indent="1" shrinkToFit="1"/>
    </xf>
    <xf numFmtId="0" fontId="8" fillId="2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 shrinkToFit="1"/>
    </xf>
    <xf numFmtId="0" fontId="9" fillId="0" borderId="12" xfId="0" applyFont="1" applyBorder="1" applyAlignment="1">
      <alignment horizontal="left" vertical="center" indent="1" shrinkToFit="1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left" vertical="center" wrapText="1" indent="2" shrinkToFit="1"/>
    </xf>
    <xf numFmtId="0" fontId="8" fillId="2" borderId="9" xfId="0" applyFont="1" applyFill="1" applyBorder="1" applyAlignment="1">
      <alignment horizontal="left" vertical="center" wrapText="1" indent="2" shrinkToFit="1"/>
    </xf>
    <xf numFmtId="0" fontId="11" fillId="0" borderId="9" xfId="0" applyFont="1" applyBorder="1" applyAlignment="1">
      <alignment horizontal="left" vertical="center" indent="1" shrinkToFit="1"/>
    </xf>
    <xf numFmtId="0" fontId="11" fillId="0" borderId="12" xfId="0" applyFont="1" applyBorder="1" applyAlignment="1">
      <alignment horizontal="left" vertical="center" indent="1" shrinkToFit="1"/>
    </xf>
    <xf numFmtId="0" fontId="9" fillId="0" borderId="15" xfId="0" applyFont="1" applyBorder="1" applyAlignment="1">
      <alignment horizontal="left" vertical="center" indent="1" shrinkToFit="1"/>
    </xf>
    <xf numFmtId="0" fontId="9" fillId="0" borderId="16" xfId="0" applyFont="1" applyBorder="1" applyAlignment="1">
      <alignment horizontal="left" vertical="center" indent="1" shrinkToFit="1"/>
    </xf>
    <xf numFmtId="0" fontId="17" fillId="0" borderId="0" xfId="0" applyFont="1" applyAlignment="1">
      <alignment horizontal="right" vertical="center"/>
    </xf>
    <xf numFmtId="0" fontId="8" fillId="2" borderId="14" xfId="0" applyFont="1" applyFill="1" applyBorder="1" applyAlignment="1">
      <alignment horizontal="left" vertical="center" wrapText="1" indent="1"/>
    </xf>
    <xf numFmtId="0" fontId="12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left" vertical="center" wrapText="1" shrinkToFit="1"/>
    </xf>
    <xf numFmtId="0" fontId="23" fillId="2" borderId="13" xfId="0" applyFont="1" applyFill="1" applyBorder="1" applyAlignment="1">
      <alignment horizontal="left" vertical="center" shrinkToFit="1"/>
    </xf>
    <xf numFmtId="0" fontId="14" fillId="2" borderId="13" xfId="0" applyFont="1" applyFill="1" applyBorder="1" applyAlignment="1">
      <alignment horizontal="left" vertical="center" wrapText="1" shrinkToFit="1"/>
    </xf>
    <xf numFmtId="0" fontId="11" fillId="0" borderId="1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shrinkToFit="1"/>
    </xf>
    <xf numFmtId="0" fontId="23" fillId="2" borderId="15" xfId="0" applyFont="1" applyFill="1" applyBorder="1" applyAlignment="1">
      <alignment horizontal="left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8" fillId="2" borderId="14" xfId="0" applyFont="1" applyFill="1" applyBorder="1" applyAlignment="1">
      <alignment horizontal="left" vertical="center" indent="1" shrinkToFit="1"/>
    </xf>
    <xf numFmtId="0" fontId="8" fillId="2" borderId="15" xfId="0" applyFont="1" applyFill="1" applyBorder="1" applyAlignment="1">
      <alignment horizontal="left" vertical="center" indent="1" shrinkToFit="1"/>
    </xf>
    <xf numFmtId="0" fontId="29" fillId="7" borderId="11" xfId="0" applyFont="1" applyFill="1" applyBorder="1" applyAlignment="1">
      <alignment horizontal="left" vertical="center" indent="1"/>
    </xf>
    <xf numFmtId="0" fontId="29" fillId="7" borderId="9" xfId="0" applyFont="1" applyFill="1" applyBorder="1" applyAlignment="1">
      <alignment horizontal="left" vertical="center" indent="1"/>
    </xf>
    <xf numFmtId="0" fontId="30" fillId="8" borderId="9" xfId="0" applyFont="1" applyFill="1" applyBorder="1" applyAlignment="1">
      <alignment horizontal="center" vertical="center"/>
    </xf>
    <xf numFmtId="0" fontId="30" fillId="8" borderId="1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left" vertical="center" wrapText="1" indent="1"/>
    </xf>
    <xf numFmtId="0" fontId="8" fillId="2" borderId="11" xfId="0" applyFont="1" applyFill="1" applyBorder="1" applyAlignment="1">
      <alignment horizontal="left" vertical="center" indent="1" shrinkToFit="1"/>
    </xf>
    <xf numFmtId="0" fontId="8" fillId="2" borderId="9" xfId="0" applyFont="1" applyFill="1" applyBorder="1" applyAlignment="1">
      <alignment horizontal="left" vertical="center" indent="1" shrinkToFit="1"/>
    </xf>
    <xf numFmtId="0" fontId="8" fillId="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 applyProtection="1">
      <alignment horizontal="left" vertical="center" indent="1" shrinkToFit="1"/>
      <protection locked="0"/>
    </xf>
    <xf numFmtId="0" fontId="11" fillId="0" borderId="12" xfId="0" applyFont="1" applyBorder="1" applyAlignment="1" applyProtection="1">
      <alignment horizontal="left" vertical="center" indent="1" shrinkToFit="1"/>
      <protection locked="0"/>
    </xf>
    <xf numFmtId="0" fontId="8" fillId="2" borderId="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left" vertical="center" wrapText="1" shrinkToFi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9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 wrapText="1"/>
    </xf>
    <xf numFmtId="0" fontId="9" fillId="8" borderId="21" xfId="0" applyFont="1" applyFill="1" applyBorder="1" applyAlignment="1">
      <alignment horizontal="left" vertical="center" indent="1" shrinkToFit="1"/>
    </xf>
    <xf numFmtId="0" fontId="9" fillId="8" borderId="22" xfId="0" applyFont="1" applyFill="1" applyBorder="1" applyAlignment="1">
      <alignment horizontal="left" vertical="center" indent="1" shrinkToFit="1"/>
    </xf>
    <xf numFmtId="0" fontId="11" fillId="8" borderId="9" xfId="0" applyFont="1" applyFill="1" applyBorder="1" applyAlignment="1">
      <alignment horizontal="left" vertical="center" indent="1" shrinkToFit="1"/>
    </xf>
    <xf numFmtId="0" fontId="11" fillId="8" borderId="12" xfId="0" applyFont="1" applyFill="1" applyBorder="1" applyAlignment="1">
      <alignment horizontal="left" vertical="center" indent="1" shrinkToFit="1"/>
    </xf>
    <xf numFmtId="0" fontId="9" fillId="8" borderId="9" xfId="0" applyFont="1" applyFill="1" applyBorder="1" applyAlignment="1">
      <alignment horizontal="center" vertical="center" shrinkToFit="1"/>
    </xf>
    <xf numFmtId="0" fontId="9" fillId="8" borderId="12" xfId="0" applyFont="1" applyFill="1" applyBorder="1" applyAlignment="1">
      <alignment horizontal="center" vertical="center" shrinkToFit="1"/>
    </xf>
    <xf numFmtId="0" fontId="9" fillId="8" borderId="19" xfId="0" applyFont="1" applyFill="1" applyBorder="1" applyAlignment="1">
      <alignment horizontal="left" vertical="center" indent="1" shrinkToFit="1"/>
    </xf>
    <xf numFmtId="0" fontId="9" fillId="8" borderId="9" xfId="0" applyFont="1" applyFill="1" applyBorder="1" applyAlignment="1">
      <alignment horizontal="left" vertical="center" indent="1" shrinkToFit="1"/>
    </xf>
    <xf numFmtId="0" fontId="9" fillId="8" borderId="12" xfId="0" applyFont="1" applyFill="1" applyBorder="1" applyAlignment="1">
      <alignment horizontal="left" vertical="center" indent="1" shrinkToFit="1"/>
    </xf>
    <xf numFmtId="0" fontId="11" fillId="8" borderId="9" xfId="0" applyFont="1" applyFill="1" applyBorder="1" applyAlignment="1" applyProtection="1">
      <alignment horizontal="left" vertical="center" indent="1" shrinkToFit="1"/>
      <protection locked="0"/>
    </xf>
    <xf numFmtId="0" fontId="11" fillId="8" borderId="12" xfId="0" applyFont="1" applyFill="1" applyBorder="1" applyAlignment="1" applyProtection="1">
      <alignment horizontal="left" vertical="center" indent="1" shrinkToFit="1"/>
      <protection locked="0"/>
    </xf>
    <xf numFmtId="0" fontId="9" fillId="8" borderId="20" xfId="0" applyFont="1" applyFill="1" applyBorder="1" applyAlignment="1">
      <alignment horizontal="left" vertical="center" indent="1" shrinkToFit="1"/>
    </xf>
    <xf numFmtId="0" fontId="11" fillId="8" borderId="9" xfId="0" applyFont="1" applyFill="1" applyBorder="1" applyAlignment="1">
      <alignment horizontal="left" vertical="center" wrapText="1" indent="1"/>
    </xf>
    <xf numFmtId="0" fontId="11" fillId="8" borderId="12" xfId="0" applyFont="1" applyFill="1" applyBorder="1" applyAlignment="1">
      <alignment horizontal="left" vertical="center" wrapText="1" indent="1"/>
    </xf>
    <xf numFmtId="49" fontId="9" fillId="8" borderId="9" xfId="0" applyNumberFormat="1" applyFont="1" applyFill="1" applyBorder="1" applyAlignment="1">
      <alignment horizontal="left" vertical="center" indent="1" shrinkToFit="1"/>
    </xf>
    <xf numFmtId="49" fontId="9" fillId="8" borderId="12" xfId="0" applyNumberFormat="1" applyFont="1" applyFill="1" applyBorder="1" applyAlignment="1">
      <alignment horizontal="left" vertical="center" indent="1" shrinkToFit="1"/>
    </xf>
    <xf numFmtId="0" fontId="10" fillId="8" borderId="19" xfId="0" applyFont="1" applyFill="1" applyBorder="1" applyAlignment="1">
      <alignment horizontal="left" vertical="center" indent="1" shrinkToFit="1"/>
    </xf>
    <xf numFmtId="0" fontId="10" fillId="8" borderId="20" xfId="0" applyFont="1" applyFill="1" applyBorder="1" applyAlignment="1">
      <alignment horizontal="left" vertical="center" indent="1" shrinkToFit="1"/>
    </xf>
    <xf numFmtId="0" fontId="8" fillId="6" borderId="54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/>
    </xf>
    <xf numFmtId="0" fontId="8" fillId="6" borderId="50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52" xfId="0" applyFont="1" applyFill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 wrapText="1"/>
    </xf>
    <xf numFmtId="0" fontId="8" fillId="6" borderId="58" xfId="0" applyFont="1" applyFill="1" applyBorder="1" applyAlignment="1">
      <alignment horizontal="center" vertical="center" wrapText="1"/>
    </xf>
    <xf numFmtId="0" fontId="8" fillId="6" borderId="59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 wrapText="1"/>
    </xf>
    <xf numFmtId="0" fontId="8" fillId="6" borderId="51" xfId="0" applyFont="1" applyFill="1" applyBorder="1" applyAlignment="1">
      <alignment horizontal="center" vertical="center" wrapText="1"/>
    </xf>
    <xf numFmtId="0" fontId="8" fillId="6" borderId="53" xfId="0" applyFont="1" applyFill="1" applyBorder="1" applyAlignment="1">
      <alignment horizontal="center" vertical="center" wrapText="1"/>
    </xf>
    <xf numFmtId="0" fontId="8" fillId="6" borderId="70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7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67" xfId="0" applyFont="1" applyFill="1" applyBorder="1" applyAlignment="1">
      <alignment horizontal="center" vertical="center"/>
    </xf>
    <xf numFmtId="0" fontId="8" fillId="6" borderId="68" xfId="0" applyFont="1" applyFill="1" applyBorder="1" applyAlignment="1">
      <alignment horizontal="center" vertical="center"/>
    </xf>
    <xf numFmtId="0" fontId="8" fillId="6" borderId="69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8" fillId="6" borderId="51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0" fontId="8" fillId="6" borderId="72" xfId="0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73" xfId="0" applyFont="1" applyFill="1" applyBorder="1" applyAlignment="1">
      <alignment horizontal="center" vertical="center" wrapText="1"/>
    </xf>
    <xf numFmtId="0" fontId="8" fillId="6" borderId="74" xfId="0" applyFont="1" applyFill="1" applyBorder="1" applyAlignment="1">
      <alignment horizontal="center" vertical="center"/>
    </xf>
    <xf numFmtId="0" fontId="8" fillId="6" borderId="75" xfId="0" applyFont="1" applyFill="1" applyBorder="1" applyAlignment="1">
      <alignment horizontal="center" vertical="center"/>
    </xf>
    <xf numFmtId="0" fontId="8" fillId="6" borderId="72" xfId="0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 wrapText="1"/>
    </xf>
    <xf numFmtId="0" fontId="8" fillId="6" borderId="40" xfId="0" applyFont="1" applyFill="1" applyBorder="1" applyAlignment="1">
      <alignment horizontal="center" vertical="center"/>
    </xf>
    <xf numFmtId="0" fontId="8" fillId="6" borderId="77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73" xfId="0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/>
    </xf>
    <xf numFmtId="0" fontId="8" fillId="6" borderId="78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center" vertical="center"/>
    </xf>
  </cellXfs>
  <cellStyles count="14">
    <cellStyle name="Hyperlink" xfId="11" xr:uid="{819019D0-A918-44FB-8ACD-DDBC892A57C0}"/>
    <cellStyle name="ハイパーリンク" xfId="4" builtinId="8"/>
    <cellStyle name="ハイパーリンク 2" xfId="2" xr:uid="{00000000-0005-0000-0000-000001000000}"/>
    <cellStyle name="ハイパーリンク 2 2" xfId="10" xr:uid="{BE8624F0-EB68-49CA-A6E5-97316D871B28}"/>
    <cellStyle name="ハイパーリンク 3" xfId="9" xr:uid="{0C0E4A49-9E64-44C1-84C4-8408CF81DCAD}"/>
    <cellStyle name="ハイパーリンク 4" xfId="13" xr:uid="{C0650609-EA28-48D1-B5A0-262BD828A4D1}"/>
    <cellStyle name="桁区切り 2" xfId="6" xr:uid="{C8F89A26-B29C-441F-9433-B450BAE47DE1}"/>
    <cellStyle name="桁区切り 3" xfId="12" xr:uid="{62CB9C71-8A30-457F-88C4-37F99FE28766}"/>
    <cellStyle name="標準" xfId="0" builtinId="0"/>
    <cellStyle name="標準 2" xfId="1" xr:uid="{00000000-0005-0000-0000-000004000000}"/>
    <cellStyle name="標準 3" xfId="3" xr:uid="{00000000-0005-0000-0000-000005000000}"/>
    <cellStyle name="標準 4" xfId="5" xr:uid="{E41A8502-2CD5-4201-95C7-0B38DE42838A}"/>
    <cellStyle name="標準 5" xfId="7" xr:uid="{822853BF-0A1E-4745-8A4B-A016B0CBD3A3}"/>
    <cellStyle name="標準 6" xfId="8" xr:uid="{2DF93FFE-CFFB-4B32-B10C-5B8854A06455}"/>
  </cellStyles>
  <dxfs count="28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900"/>
      <color rgb="FFFFFF99"/>
      <color rgb="FFFFCCFF"/>
      <color rgb="FFFFFFCC"/>
      <color rgb="FFF0E1FF"/>
      <color rgb="FFFFEFFF"/>
      <color rgb="FFE4C9FF"/>
      <color rgb="FFFFD5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O56" lockText="1" noThreeD="1"/>
</file>

<file path=xl/ctrlProps/ctrlProp2.xml><?xml version="1.0" encoding="utf-8"?>
<formControlPr xmlns="http://schemas.microsoft.com/office/spreadsheetml/2009/9/main" objectType="CheckBox" checked="Checked" fmlaLink="O56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150813</xdr:colOff>
      <xdr:row>2</xdr:row>
      <xdr:rowOff>15877</xdr:rowOff>
    </xdr:from>
    <xdr:to>
      <xdr:col>6</xdr:col>
      <xdr:colOff>463550</xdr:colOff>
      <xdr:row>3</xdr:row>
      <xdr:rowOff>76836</xdr:rowOff>
    </xdr:to>
    <xdr:pic>
      <xdr:nvPicPr>
        <xdr:cNvPr id="4" name="グラフィックス 3" descr="封筒 枠線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14499" y="407763"/>
          <a:ext cx="309562" cy="33201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184150</xdr:colOff>
          <xdr:row>54</xdr:row>
          <xdr:rowOff>381000</xdr:rowOff>
        </xdr:from>
        <xdr:to>
          <xdr:col>16</xdr:col>
          <xdr:colOff>463550</xdr:colOff>
          <xdr:row>56</xdr:row>
          <xdr:rowOff>31750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通夜と同一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150813</xdr:colOff>
      <xdr:row>2</xdr:row>
      <xdr:rowOff>15877</xdr:rowOff>
    </xdr:from>
    <xdr:to>
      <xdr:col>6</xdr:col>
      <xdr:colOff>460375</xdr:colOff>
      <xdr:row>3</xdr:row>
      <xdr:rowOff>53976</xdr:rowOff>
    </xdr:to>
    <xdr:pic>
      <xdr:nvPicPr>
        <xdr:cNvPr id="2" name="グラフィックス 1" descr="封筒 枠線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13138" y="400687"/>
          <a:ext cx="309562" cy="32003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184150</xdr:colOff>
          <xdr:row>54</xdr:row>
          <xdr:rowOff>381000</xdr:rowOff>
        </xdr:from>
        <xdr:to>
          <xdr:col>16</xdr:col>
          <xdr:colOff>482600</xdr:colOff>
          <xdr:row>56</xdr:row>
          <xdr:rowOff>25400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通夜と同一</a:t>
              </a:r>
            </a:p>
          </xdr:txBody>
        </xdr:sp>
        <xdr:clientData/>
      </xdr:twoCellAnchor>
    </mc:Choice>
    <mc:Fallback/>
  </mc:AlternateContent>
  <xdr:twoCellAnchor>
    <xdr:from>
      <xdr:col>18</xdr:col>
      <xdr:colOff>204377</xdr:colOff>
      <xdr:row>19</xdr:row>
      <xdr:rowOff>135255</xdr:rowOff>
    </xdr:from>
    <xdr:to>
      <xdr:col>24</xdr:col>
      <xdr:colOff>140334</xdr:colOff>
      <xdr:row>24</xdr:row>
      <xdr:rowOff>352425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529477" y="4051935"/>
          <a:ext cx="3608797" cy="155067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en-US" altLang="ja-JP" sz="1600" b="1" u="sng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NSP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および</a:t>
          </a:r>
          <a:r>
            <a:rPr kumimoji="1" lang="ja-JP" altLang="ja-JP" sz="1600" b="1" u="sng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定年再雇用嘱託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は、勤務形態</a:t>
          </a:r>
          <a:r>
            <a:rPr kumimoji="1" lang="en-US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ﾌﾙﾀｲﾑ</a:t>
          </a:r>
          <a:r>
            <a:rPr kumimoji="1" lang="en-US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or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ﾊﾟｰﾄ、常勤</a:t>
          </a:r>
          <a:r>
            <a:rPr kumimoji="1" lang="en-US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or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非常勤</a:t>
          </a:r>
          <a:r>
            <a:rPr kumimoji="1" lang="en-US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によって、</a:t>
          </a:r>
          <a:r>
            <a:rPr kumimoji="1" lang="ja-JP" altLang="ja-JP" sz="1600" b="1" u="sng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会社対応の内容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が異なります。</a:t>
          </a:r>
          <a:endParaRPr lang="ja-JP" altLang="ja-JP" sz="1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ja-JP" sz="16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弔事対応基準参照</a:t>
          </a:r>
          <a:endParaRPr lang="ja-JP" altLang="ja-JP" sz="1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129540</xdr:colOff>
      <xdr:row>21</xdr:row>
      <xdr:rowOff>339090</xdr:rowOff>
    </xdr:from>
    <xdr:to>
      <xdr:col>18</xdr:col>
      <xdr:colOff>204377</xdr:colOff>
      <xdr:row>30</xdr:row>
      <xdr:rowOff>236220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4" idx="1"/>
        </xdr:cNvCxnSpPr>
      </xdr:nvCxnSpPr>
      <xdr:spPr>
        <a:xfrm flipH="1">
          <a:off x="4107180" y="4827270"/>
          <a:ext cx="6422297" cy="199263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173808</xdr:colOff>
      <xdr:row>35</xdr:row>
      <xdr:rowOff>185420</xdr:rowOff>
    </xdr:from>
    <xdr:to>
      <xdr:col>20</xdr:col>
      <xdr:colOff>110580</xdr:colOff>
      <xdr:row>37</xdr:row>
      <xdr:rowOff>265157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16" idx="1"/>
        </xdr:cNvCxnSpPr>
      </xdr:nvCxnSpPr>
      <xdr:spPr>
        <a:xfrm flipH="1">
          <a:off x="9555933" y="8107045"/>
          <a:ext cx="2000522" cy="841737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301081</xdr:colOff>
      <xdr:row>40</xdr:row>
      <xdr:rowOff>343354</xdr:rowOff>
    </xdr:from>
    <xdr:to>
      <xdr:col>26</xdr:col>
      <xdr:colOff>51435</xdr:colOff>
      <xdr:row>46</xdr:row>
      <xdr:rowOff>69577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1746956" y="9804854"/>
          <a:ext cx="3401604" cy="182172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家族・ご親族でパナソニック株式会社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(EW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LAS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HVAC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CCS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CNA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社含む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に勤務されている方がいらっしゃる場合、</a:t>
          </a:r>
          <a:r>
            <a:rPr lang="ja-JP" altLang="en-US" sz="1600" b="1" u="sng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弔事対応が変わってくる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ため、必ずご記入いただくようお願いいたします。</a:t>
          </a:r>
          <a:endParaRPr lang="ja-JP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549365</xdr:colOff>
      <xdr:row>40</xdr:row>
      <xdr:rowOff>272323</xdr:rowOff>
    </xdr:from>
    <xdr:to>
      <xdr:col>20</xdr:col>
      <xdr:colOff>301081</xdr:colOff>
      <xdr:row>43</xdr:row>
      <xdr:rowOff>305526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18" idx="1"/>
        </xdr:cNvCxnSpPr>
      </xdr:nvCxnSpPr>
      <xdr:spPr>
        <a:xfrm flipH="1" flipV="1">
          <a:off x="9328240" y="9733823"/>
          <a:ext cx="2418716" cy="98570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128543</xdr:colOff>
      <xdr:row>54</xdr:row>
      <xdr:rowOff>83550</xdr:rowOff>
    </xdr:from>
    <xdr:to>
      <xdr:col>25</xdr:col>
      <xdr:colOff>489767</xdr:colOff>
      <xdr:row>58</xdr:row>
      <xdr:rowOff>68852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1574418" y="14307550"/>
          <a:ext cx="3409224" cy="150930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弔電・供花の手配に関わるため、必ずご記入ください。</a:t>
          </a:r>
          <a:endParaRPr lang="en-US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通夜・告別式等を実施しない場合は</a:t>
          </a:r>
          <a:r>
            <a:rPr lang="en-US" altLang="ja-JP" sz="1600" b="1" u="sng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『</a:t>
          </a:r>
          <a:r>
            <a:rPr lang="ja-JP" altLang="en-US" sz="1600" b="1" u="sng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実施なし</a:t>
          </a:r>
          <a:r>
            <a:rPr lang="en-US" altLang="ja-JP" sz="1600" b="1" u="sng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』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とご記入いただきたく思います。</a:t>
          </a:r>
          <a:endParaRPr lang="ja-JP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330018</xdr:colOff>
      <xdr:row>56</xdr:row>
      <xdr:rowOff>20137</xdr:rowOff>
    </xdr:from>
    <xdr:to>
      <xdr:col>20</xdr:col>
      <xdr:colOff>128543</xdr:colOff>
      <xdr:row>56</xdr:row>
      <xdr:rowOff>76201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20" idx="1"/>
        </xdr:cNvCxnSpPr>
      </xdr:nvCxnSpPr>
      <xdr:spPr>
        <a:xfrm flipH="1" flipV="1">
          <a:off x="9108893" y="15006137"/>
          <a:ext cx="2465525" cy="56064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24130</xdr:colOff>
      <xdr:row>9</xdr:row>
      <xdr:rowOff>152400</xdr:rowOff>
    </xdr:from>
    <xdr:to>
      <xdr:col>25</xdr:col>
      <xdr:colOff>382814</xdr:colOff>
      <xdr:row>18</xdr:row>
      <xdr:rowOff>60234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1470005" y="1962150"/>
          <a:ext cx="3406684" cy="182870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会社や個人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職場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からの弔電・供花等の対応の可否についてご選択ください。</a:t>
          </a:r>
          <a:endParaRPr lang="en-US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規定については、別シート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『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規定</a:t>
          </a:r>
          <a:r>
            <a:rPr lang="en-US" altLang="ja-JP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』</a:t>
          </a:r>
          <a:r>
            <a:rPr lang="ja-JP" altLang="en-US" sz="1600" b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にてご確認願います。</a:t>
          </a:r>
          <a:endParaRPr lang="en-US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lang="ja-JP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474980</xdr:colOff>
      <xdr:row>14</xdr:row>
      <xdr:rowOff>94887</xdr:rowOff>
    </xdr:from>
    <xdr:to>
      <xdr:col>20</xdr:col>
      <xdr:colOff>24130</xdr:colOff>
      <xdr:row>20</xdr:row>
      <xdr:rowOff>360680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22" idx="1"/>
        </xdr:cNvCxnSpPr>
      </xdr:nvCxnSpPr>
      <xdr:spPr>
        <a:xfrm flipH="1">
          <a:off x="5634355" y="2873012"/>
          <a:ext cx="5835650" cy="159929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650875</xdr:colOff>
      <xdr:row>4</xdr:row>
      <xdr:rowOff>15875</xdr:rowOff>
    </xdr:from>
    <xdr:to>
      <xdr:col>12</xdr:col>
      <xdr:colOff>568325</xdr:colOff>
      <xdr:row>13</xdr:row>
      <xdr:rowOff>32385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25500" y="873125"/>
          <a:ext cx="6711950" cy="173101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36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オレンジ色の欄</a:t>
          </a:r>
          <a:r>
            <a:rPr lang="ja-JP" altLang="en-US" sz="3600" b="1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については漏れなく記入いただくようお願いいたします</a:t>
          </a:r>
          <a:endParaRPr lang="ja-JP" altLang="ja-JP" sz="3600" b="1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190500</xdr:colOff>
      <xdr:row>26</xdr:row>
      <xdr:rowOff>35243</xdr:rowOff>
    </xdr:from>
    <xdr:to>
      <xdr:col>18</xdr:col>
      <xdr:colOff>354872</xdr:colOff>
      <xdr:row>29</xdr:row>
      <xdr:rowOff>247650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8" idx="1"/>
        </xdr:cNvCxnSpPr>
      </xdr:nvCxnSpPr>
      <xdr:spPr>
        <a:xfrm flipH="1">
          <a:off x="9648825" y="6045518"/>
          <a:ext cx="1021622" cy="783907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110580</xdr:colOff>
      <xdr:row>28</xdr:row>
      <xdr:rowOff>114119</xdr:rowOff>
    </xdr:from>
    <xdr:to>
      <xdr:col>25</xdr:col>
      <xdr:colOff>418736</xdr:colOff>
      <xdr:row>40</xdr:row>
      <xdr:rowOff>225605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1556455" y="6511744"/>
          <a:ext cx="3356156" cy="317536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ja-JP" sz="16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二親等で別居の親族</a:t>
          </a:r>
          <a:r>
            <a:rPr kumimoji="1" lang="ja-JP" altLang="ja-JP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（祖父母</a:t>
          </a:r>
          <a:r>
            <a:rPr kumimoji="1" lang="ja-JP" altLang="en-US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・兄弟姉妹</a:t>
          </a:r>
          <a:r>
            <a:rPr kumimoji="1" lang="ja-JP" altLang="ja-JP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等）が亡くなった場合は</a:t>
          </a:r>
          <a:r>
            <a:rPr kumimoji="1" lang="ja-JP" altLang="en-US" sz="1600" b="1" u="sng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会社規定の弔事対応については対象外</a:t>
          </a:r>
          <a:r>
            <a:rPr kumimoji="1" lang="ja-JP" altLang="en-US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となります。</a:t>
          </a:r>
          <a:endParaRPr lang="ja-JP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600" b="0" u="non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ただし、</a:t>
          </a:r>
          <a:r>
            <a:rPr kumimoji="1" lang="ja-JP" altLang="ja-JP" sz="1600" b="1" u="sng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独身者は実家の世帯員を同一世帯員とみなす</a:t>
          </a:r>
          <a:r>
            <a:rPr kumimoji="1" lang="ja-JP" altLang="ja-JP" sz="1600" b="0" u="sng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ため、会社</a:t>
          </a:r>
          <a:r>
            <a:rPr kumimoji="1" lang="ja-JP" altLang="en-US" sz="1600" b="0" u="sng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規定の弔事対応の対象となります</a:t>
          </a:r>
          <a:r>
            <a:rPr kumimoji="1" lang="ja-JP" altLang="ja-JP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  <a:endParaRPr kumimoji="1" lang="en-US" altLang="ja-JP" sz="1600" b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その場合は、</a:t>
          </a:r>
          <a:r>
            <a:rPr kumimoji="1" lang="ja-JP" altLang="en-US" sz="1600" b="1" u="sng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別居であっても同居をご選択</a:t>
          </a:r>
          <a:r>
            <a:rPr kumimoji="1" lang="ja-JP" altLang="en-US" sz="16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ください。</a:t>
          </a:r>
          <a:endParaRPr lang="ja-JP" altLang="ja-JP" sz="1600" b="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354872</xdr:colOff>
      <xdr:row>25</xdr:row>
      <xdr:rowOff>205740</xdr:rowOff>
    </xdr:from>
    <xdr:to>
      <xdr:col>24</xdr:col>
      <xdr:colOff>19050</xdr:colOff>
      <xdr:row>27</xdr:row>
      <xdr:rowOff>55245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670447" y="5835015"/>
          <a:ext cx="3340828" cy="42100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en-US" sz="16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ドロップダウンリストより選択してください</a:t>
          </a:r>
          <a:endParaRPr lang="ja-JP" altLang="ja-JP" sz="16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59;&#12473;&#12479;&#12512;&#24180;&#38291;&#12459;&#12524;&#12531;&#12480;&#1254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  <sheetName val="詳細情報"/>
      <sheetName val="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w-chouji@ml.jp.panasonic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w-chouji@ml.jp.panasonic.com" TargetMode="Externa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8EA9-AF54-4179-8AF9-741C3FEB7151}">
  <dimension ref="A1:A24"/>
  <sheetViews>
    <sheetView workbookViewId="0">
      <selection activeCell="A16" sqref="A16"/>
    </sheetView>
  </sheetViews>
  <sheetFormatPr defaultRowHeight="13" x14ac:dyDescent="0.2"/>
  <cols>
    <col min="1" max="1" width="72.90625" bestFit="1" customWidth="1"/>
  </cols>
  <sheetData>
    <row r="1" spans="1:1" x14ac:dyDescent="0.2">
      <c r="A1" t="s">
        <v>181</v>
      </c>
    </row>
    <row r="2" spans="1:1" x14ac:dyDescent="0.2">
      <c r="A2" s="64"/>
    </row>
    <row r="3" spans="1:1" x14ac:dyDescent="0.2">
      <c r="A3" t="s">
        <v>182</v>
      </c>
    </row>
    <row r="4" spans="1:1" x14ac:dyDescent="0.2">
      <c r="A4" t="s">
        <v>184</v>
      </c>
    </row>
    <row r="5" spans="1:1" x14ac:dyDescent="0.2">
      <c r="A5" t="s">
        <v>185</v>
      </c>
    </row>
    <row r="8" spans="1:1" x14ac:dyDescent="0.2">
      <c r="A8" t="s">
        <v>186</v>
      </c>
    </row>
    <row r="10" spans="1:1" x14ac:dyDescent="0.2">
      <c r="A10" t="s">
        <v>182</v>
      </c>
    </row>
    <row r="11" spans="1:1" x14ac:dyDescent="0.2">
      <c r="A11" t="s">
        <v>184</v>
      </c>
    </row>
    <row r="12" spans="1:1" x14ac:dyDescent="0.2">
      <c r="A12" t="s">
        <v>185</v>
      </c>
    </row>
    <row r="15" spans="1:1" x14ac:dyDescent="0.2">
      <c r="A15" t="s">
        <v>187</v>
      </c>
    </row>
    <row r="17" spans="1:1" x14ac:dyDescent="0.2">
      <c r="A17" t="s">
        <v>182</v>
      </c>
    </row>
    <row r="18" spans="1:1" x14ac:dyDescent="0.2">
      <c r="A18" t="s">
        <v>184</v>
      </c>
    </row>
    <row r="19" spans="1:1" x14ac:dyDescent="0.2">
      <c r="A19" t="s">
        <v>185</v>
      </c>
    </row>
    <row r="22" spans="1:1" x14ac:dyDescent="0.2">
      <c r="A22" t="s">
        <v>188</v>
      </c>
    </row>
    <row r="24" spans="1:1" x14ac:dyDescent="0.2">
      <c r="A24" t="s">
        <v>189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FB23-66C9-45C3-9665-21A3A9E01318}">
  <sheetPr>
    <pageSetUpPr fitToPage="1"/>
  </sheetPr>
  <dimension ref="B1:AJ72"/>
  <sheetViews>
    <sheetView showGridLines="0" tabSelected="1" zoomScaleNormal="100" workbookViewId="0">
      <selection activeCell="N65" sqref="N65"/>
    </sheetView>
  </sheetViews>
  <sheetFormatPr defaultColWidth="8.90625" defaultRowHeight="15" x14ac:dyDescent="0.2"/>
  <cols>
    <col min="1" max="1" width="2.6328125" style="2" customWidth="1"/>
    <col min="2" max="3" width="9.90625" style="2" customWidth="1"/>
    <col min="4" max="5" width="8.90625" style="2"/>
    <col min="6" max="6" width="8.90625" style="2" bestFit="1" customWidth="1"/>
    <col min="7" max="17" width="8.90625" style="2"/>
    <col min="18" max="18" width="3.6328125" style="2" customWidth="1"/>
    <col min="19" max="19" width="8.90625" style="2"/>
    <col min="20" max="20" width="8.90625" style="2" customWidth="1"/>
    <col min="21" max="27" width="12.81640625" style="2" customWidth="1"/>
    <col min="28" max="28" width="15.08984375" style="2" hidden="1" customWidth="1"/>
    <col min="29" max="32" width="8.90625" style="2" hidden="1" customWidth="1"/>
    <col min="33" max="16384" width="8.90625" style="2"/>
  </cols>
  <sheetData>
    <row r="1" spans="2:19" x14ac:dyDescent="0.2">
      <c r="B1" s="2" t="s">
        <v>0</v>
      </c>
      <c r="P1" s="118" t="s">
        <v>1</v>
      </c>
      <c r="Q1" s="118"/>
    </row>
    <row r="3" spans="2:19" ht="22" x14ac:dyDescent="0.2">
      <c r="B3" s="16" t="s">
        <v>2</v>
      </c>
      <c r="C3" s="15"/>
      <c r="D3" s="15"/>
      <c r="E3" s="15"/>
      <c r="F3" s="15"/>
      <c r="H3" s="63" t="s">
        <v>3</v>
      </c>
      <c r="I3" s="15"/>
      <c r="J3" s="15"/>
      <c r="K3" s="15"/>
      <c r="L3" s="15"/>
      <c r="M3" s="15"/>
      <c r="N3" s="15"/>
      <c r="O3" s="15"/>
    </row>
    <row r="5" spans="2:19" x14ac:dyDescent="0.2">
      <c r="B5" s="19" t="s">
        <v>4</v>
      </c>
      <c r="C5" s="11" t="s">
        <v>5</v>
      </c>
    </row>
    <row r="6" spans="2:19" x14ac:dyDescent="0.2">
      <c r="C6" s="2" t="s">
        <v>6</v>
      </c>
    </row>
    <row r="7" spans="2:19" x14ac:dyDescent="0.2">
      <c r="C7" s="11" t="s">
        <v>7</v>
      </c>
      <c r="G7" s="11" t="s">
        <v>8</v>
      </c>
    </row>
    <row r="8" spans="2:19" x14ac:dyDescent="0.2">
      <c r="B8" s="19" t="s">
        <v>9</v>
      </c>
      <c r="C8" s="11" t="s">
        <v>10</v>
      </c>
    </row>
    <row r="9" spans="2:19" x14ac:dyDescent="0.2">
      <c r="B9" s="19"/>
      <c r="C9" s="2" t="s">
        <v>11</v>
      </c>
    </row>
    <row r="10" spans="2:19" x14ac:dyDescent="0.2">
      <c r="B10" s="19" t="s">
        <v>12</v>
      </c>
      <c r="C10" s="2" t="s">
        <v>13</v>
      </c>
    </row>
    <row r="11" spans="2:19" x14ac:dyDescent="0.2">
      <c r="B11" s="19" t="s">
        <v>14</v>
      </c>
      <c r="C11" s="29" t="s">
        <v>15</v>
      </c>
      <c r="D11" s="29"/>
      <c r="E11" s="29"/>
    </row>
    <row r="12" spans="2:19" x14ac:dyDescent="0.2">
      <c r="B12" s="19" t="s">
        <v>16</v>
      </c>
      <c r="C12" s="14" t="s">
        <v>17</v>
      </c>
      <c r="D12" s="15"/>
      <c r="E12" s="15"/>
      <c r="F12" s="15"/>
      <c r="G12" s="15"/>
      <c r="H12" s="15"/>
      <c r="I12" s="15"/>
      <c r="J12" s="15"/>
      <c r="K12" s="15"/>
    </row>
    <row r="13" spans="2:19" x14ac:dyDescent="0.2">
      <c r="B13" s="19"/>
      <c r="C13" s="2" t="s">
        <v>18</v>
      </c>
    </row>
    <row r="14" spans="2:19" ht="15.5" thickBot="1" x14ac:dyDescent="0.25"/>
    <row r="15" spans="2:19" ht="15" customHeight="1" x14ac:dyDescent="0.2">
      <c r="B15" s="120" t="s">
        <v>19</v>
      </c>
      <c r="C15" s="121"/>
      <c r="D15" s="121"/>
      <c r="E15" s="121"/>
      <c r="F15" s="121"/>
      <c r="G15" s="121"/>
      <c r="H15" s="121"/>
      <c r="I15" s="121"/>
      <c r="J15" s="121"/>
      <c r="K15" s="124"/>
      <c r="L15" s="124"/>
      <c r="M15" s="124"/>
      <c r="N15" s="124"/>
      <c r="O15" s="124"/>
      <c r="P15" s="124"/>
      <c r="Q15" s="125"/>
    </row>
    <row r="16" spans="2:19" ht="15" customHeight="1" thickBot="1" x14ac:dyDescent="0.25">
      <c r="B16" s="122"/>
      <c r="C16" s="123"/>
      <c r="D16" s="123"/>
      <c r="E16" s="123"/>
      <c r="F16" s="123"/>
      <c r="G16" s="123"/>
      <c r="H16" s="123"/>
      <c r="I16" s="123"/>
      <c r="J16" s="123"/>
      <c r="K16" s="126"/>
      <c r="L16" s="126"/>
      <c r="M16" s="126"/>
      <c r="N16" s="126"/>
      <c r="O16" s="126"/>
      <c r="P16" s="126"/>
      <c r="Q16" s="127"/>
      <c r="S16" s="11"/>
    </row>
    <row r="18" spans="2:36" ht="30" customHeight="1" x14ac:dyDescent="0.2">
      <c r="B18" s="71" t="s">
        <v>20</v>
      </c>
      <c r="C18" s="72"/>
      <c r="D18" s="72"/>
      <c r="E18" s="22">
        <v>2025</v>
      </c>
      <c r="F18" s="3" t="s">
        <v>21</v>
      </c>
      <c r="G18" s="22">
        <v>11</v>
      </c>
      <c r="H18" s="3" t="s">
        <v>22</v>
      </c>
      <c r="I18" s="23">
        <v>6</v>
      </c>
      <c r="J18" s="4" t="s">
        <v>23</v>
      </c>
    </row>
    <row r="19" spans="2:36" ht="15" customHeight="1" x14ac:dyDescent="0.2"/>
    <row r="20" spans="2:36" ht="15" customHeight="1" x14ac:dyDescent="0.2"/>
    <row r="21" spans="2:36" ht="30" customHeight="1" x14ac:dyDescent="0.2">
      <c r="B21" s="128" t="s">
        <v>192</v>
      </c>
      <c r="C21" s="129"/>
      <c r="D21" s="129"/>
      <c r="E21" s="131" t="s">
        <v>218</v>
      </c>
      <c r="F21" s="132"/>
      <c r="G21" s="132"/>
      <c r="H21" s="132"/>
      <c r="I21" s="132"/>
      <c r="J21" s="133"/>
      <c r="K21" s="130" t="s">
        <v>190</v>
      </c>
      <c r="L21" s="128"/>
      <c r="M21" s="128"/>
      <c r="N21" s="131" t="s">
        <v>218</v>
      </c>
      <c r="O21" s="132"/>
      <c r="P21" s="132"/>
      <c r="Q21" s="133"/>
    </row>
    <row r="22" spans="2:36" ht="30" customHeight="1" x14ac:dyDescent="0.2">
      <c r="B22" s="128" t="s">
        <v>193</v>
      </c>
      <c r="C22" s="129"/>
      <c r="D22" s="129"/>
      <c r="E22" s="131" t="s">
        <v>218</v>
      </c>
      <c r="F22" s="132"/>
      <c r="G22" s="132"/>
      <c r="H22" s="132"/>
      <c r="I22" s="132"/>
      <c r="J22" s="133"/>
      <c r="K22" s="134" t="s">
        <v>191</v>
      </c>
      <c r="L22" s="135"/>
      <c r="M22" s="135"/>
      <c r="N22" s="131" t="s">
        <v>219</v>
      </c>
      <c r="O22" s="132"/>
      <c r="P22" s="132"/>
      <c r="Q22" s="133"/>
    </row>
    <row r="25" spans="2:36" ht="30" customHeight="1" x14ac:dyDescent="0.2">
      <c r="B25" s="89" t="s">
        <v>24</v>
      </c>
      <c r="C25" s="90"/>
      <c r="D25" s="90"/>
      <c r="E25" s="91" t="s">
        <v>220</v>
      </c>
      <c r="F25" s="91"/>
      <c r="G25" s="91"/>
      <c r="H25" s="91"/>
      <c r="I25" s="91"/>
      <c r="J25" s="91"/>
      <c r="K25" s="71" t="s">
        <v>25</v>
      </c>
      <c r="L25" s="72"/>
      <c r="M25" s="72"/>
      <c r="N25" s="108">
        <v>9040341</v>
      </c>
      <c r="O25" s="108"/>
      <c r="P25" s="108"/>
      <c r="Q25" s="109"/>
    </row>
    <row r="26" spans="2:36" ht="30" customHeight="1" x14ac:dyDescent="0.2">
      <c r="B26" s="95" t="s">
        <v>26</v>
      </c>
      <c r="C26" s="96"/>
      <c r="D26" s="96"/>
      <c r="E26" s="97" t="s">
        <v>221</v>
      </c>
      <c r="F26" s="97"/>
      <c r="G26" s="97"/>
      <c r="H26" s="97"/>
      <c r="I26" s="97"/>
      <c r="J26" s="98"/>
      <c r="K26" s="119" t="s">
        <v>27</v>
      </c>
      <c r="L26" s="96"/>
      <c r="M26" s="96"/>
      <c r="N26" s="93" t="s">
        <v>222</v>
      </c>
      <c r="O26" s="93"/>
      <c r="P26" s="93"/>
      <c r="Q26" s="94"/>
    </row>
    <row r="27" spans="2:36" x14ac:dyDescent="0.2">
      <c r="K27" s="1" t="s">
        <v>28</v>
      </c>
    </row>
    <row r="28" spans="2:36" x14ac:dyDescent="0.2">
      <c r="K28" s="1" t="s">
        <v>29</v>
      </c>
    </row>
    <row r="29" spans="2:36" x14ac:dyDescent="0.2">
      <c r="K29" s="1"/>
      <c r="AB29" s="2" t="s">
        <v>213</v>
      </c>
    </row>
    <row r="30" spans="2:36" ht="27.65" customHeight="1" x14ac:dyDescent="0.2">
      <c r="K30" s="71" t="s">
        <v>197</v>
      </c>
      <c r="L30" s="72"/>
      <c r="M30" s="72"/>
      <c r="N30" s="73" t="s">
        <v>223</v>
      </c>
      <c r="O30" s="73"/>
      <c r="P30" s="73"/>
      <c r="Q30" s="74"/>
      <c r="AB30" s="70" t="s">
        <v>214</v>
      </c>
      <c r="AC30" s="70" t="str">
        <f>VLOOKUP(N30,AB31:AC36,2,FALSE)</f>
        <v>⑥</v>
      </c>
      <c r="AD30" s="2" t="s">
        <v>215</v>
      </c>
    </row>
    <row r="31" spans="2:36" ht="30" customHeight="1" x14ac:dyDescent="0.2">
      <c r="B31" s="71" t="s">
        <v>30</v>
      </c>
      <c r="C31" s="72"/>
      <c r="D31" s="72"/>
      <c r="E31" s="114" t="s">
        <v>224</v>
      </c>
      <c r="F31" s="114"/>
      <c r="G31" s="114"/>
      <c r="H31" s="114"/>
      <c r="I31" s="114"/>
      <c r="J31" s="115"/>
      <c r="K31" s="71" t="s">
        <v>31</v>
      </c>
      <c r="L31" s="72"/>
      <c r="M31" s="72"/>
      <c r="N31" s="136" t="s">
        <v>225</v>
      </c>
      <c r="O31" s="136"/>
      <c r="P31" s="136"/>
      <c r="Q31" s="137"/>
      <c r="AB31" s="65" t="s">
        <v>196</v>
      </c>
      <c r="AC31" s="65" t="s">
        <v>207</v>
      </c>
      <c r="AD31" s="65" t="s">
        <v>200</v>
      </c>
      <c r="AE31" s="65" t="s">
        <v>201</v>
      </c>
      <c r="AF31" s="65"/>
    </row>
    <row r="32" spans="2:36" x14ac:dyDescent="0.2">
      <c r="AB32" s="65" t="s">
        <v>202</v>
      </c>
      <c r="AC32" s="65" t="s">
        <v>208</v>
      </c>
      <c r="AD32" s="65" t="s">
        <v>203</v>
      </c>
      <c r="AE32" s="65" t="s">
        <v>204</v>
      </c>
      <c r="AF32" s="65"/>
      <c r="AH32" s="69"/>
      <c r="AI32" s="69"/>
      <c r="AJ32" s="69"/>
    </row>
    <row r="33" spans="2:32" ht="30" customHeight="1" x14ac:dyDescent="0.2">
      <c r="B33" s="71" t="s">
        <v>32</v>
      </c>
      <c r="C33" s="72"/>
      <c r="D33" s="72"/>
      <c r="E33" s="114" t="s">
        <v>75</v>
      </c>
      <c r="F33" s="114"/>
      <c r="G33" s="114"/>
      <c r="H33" s="114"/>
      <c r="I33" s="114"/>
      <c r="J33" s="115"/>
      <c r="K33" s="140" t="s">
        <v>195</v>
      </c>
      <c r="L33" s="141"/>
      <c r="M33" s="141"/>
      <c r="N33" s="142" t="s">
        <v>226</v>
      </c>
      <c r="O33" s="142"/>
      <c r="P33" s="142"/>
      <c r="Q33" s="143"/>
      <c r="AB33" s="65" t="s">
        <v>206</v>
      </c>
      <c r="AC33" s="65" t="s">
        <v>209</v>
      </c>
      <c r="AD33" s="65" t="s">
        <v>203</v>
      </c>
      <c r="AE33" s="65" t="s">
        <v>204</v>
      </c>
      <c r="AF33" s="65"/>
    </row>
    <row r="34" spans="2:32" x14ac:dyDescent="0.2">
      <c r="AB34" s="65" t="s">
        <v>205</v>
      </c>
      <c r="AC34" s="65" t="s">
        <v>210</v>
      </c>
      <c r="AD34" s="65" t="s">
        <v>203</v>
      </c>
      <c r="AE34" s="65" t="s">
        <v>204</v>
      </c>
      <c r="AF34" s="65"/>
    </row>
    <row r="35" spans="2:32" x14ac:dyDescent="0.2">
      <c r="AB35" s="65" t="s">
        <v>198</v>
      </c>
      <c r="AC35" s="65" t="s">
        <v>211</v>
      </c>
      <c r="AD35" s="65" t="s">
        <v>203</v>
      </c>
      <c r="AE35" s="65" t="s">
        <v>204</v>
      </c>
      <c r="AF35" s="65"/>
    </row>
    <row r="36" spans="2:32" ht="30" customHeight="1" x14ac:dyDescent="0.2">
      <c r="B36" s="89" t="s">
        <v>24</v>
      </c>
      <c r="C36" s="90"/>
      <c r="D36" s="90"/>
      <c r="E36" s="91" t="s">
        <v>227</v>
      </c>
      <c r="F36" s="91"/>
      <c r="G36" s="91"/>
      <c r="H36" s="91"/>
      <c r="I36" s="91"/>
      <c r="J36" s="91"/>
      <c r="K36" s="151" t="s">
        <v>33</v>
      </c>
      <c r="L36" s="148" t="s">
        <v>34</v>
      </c>
      <c r="M36" s="148"/>
      <c r="N36" s="114" t="s">
        <v>77</v>
      </c>
      <c r="O36" s="114"/>
      <c r="P36" s="114"/>
      <c r="Q36" s="115"/>
      <c r="S36" s="12"/>
      <c r="AB36" s="65" t="s">
        <v>199</v>
      </c>
      <c r="AC36" s="65" t="s">
        <v>212</v>
      </c>
      <c r="AD36" s="65" t="s">
        <v>203</v>
      </c>
      <c r="AE36" s="65" t="s">
        <v>204</v>
      </c>
      <c r="AF36" s="65"/>
    </row>
    <row r="37" spans="2:32" ht="30" customHeight="1" x14ac:dyDescent="0.2">
      <c r="B37" s="138" t="s">
        <v>35</v>
      </c>
      <c r="C37" s="139"/>
      <c r="D37" s="139"/>
      <c r="E37" s="116" t="s">
        <v>228</v>
      </c>
      <c r="F37" s="116"/>
      <c r="G37" s="116"/>
      <c r="H37" s="116"/>
      <c r="I37" s="116"/>
      <c r="J37" s="117"/>
      <c r="K37" s="152"/>
      <c r="L37" s="148" t="s">
        <v>36</v>
      </c>
      <c r="M37" s="148"/>
      <c r="N37" s="149" t="s">
        <v>79</v>
      </c>
      <c r="O37" s="149"/>
      <c r="P37" s="149"/>
      <c r="Q37" s="150"/>
      <c r="S37" s="158"/>
      <c r="T37" s="158"/>
      <c r="U37" s="158"/>
      <c r="V37" s="158"/>
      <c r="W37" s="158"/>
      <c r="X37" s="158"/>
      <c r="Y37" s="158"/>
    </row>
    <row r="38" spans="2:32" ht="30" customHeight="1" x14ac:dyDescent="0.2">
      <c r="B38" s="71" t="s">
        <v>37</v>
      </c>
      <c r="C38" s="72"/>
      <c r="D38" s="72"/>
      <c r="E38" s="24">
        <v>10</v>
      </c>
      <c r="F38" s="3" t="s">
        <v>22</v>
      </c>
      <c r="G38" s="25">
        <v>31</v>
      </c>
      <c r="H38" s="3" t="s">
        <v>23</v>
      </c>
      <c r="I38" s="24" t="s">
        <v>230</v>
      </c>
      <c r="J38" s="3" t="s">
        <v>38</v>
      </c>
      <c r="K38" s="153"/>
      <c r="L38" s="148" t="s">
        <v>39</v>
      </c>
      <c r="M38" s="148"/>
      <c r="N38" s="114" t="s">
        <v>229</v>
      </c>
      <c r="O38" s="114"/>
      <c r="P38" s="114"/>
      <c r="Q38" s="115"/>
      <c r="S38" s="158"/>
      <c r="T38" s="157"/>
      <c r="U38" s="157"/>
      <c r="V38" s="157"/>
      <c r="W38" s="157"/>
      <c r="X38" s="157"/>
      <c r="Y38" s="157"/>
    </row>
    <row r="39" spans="2:32" ht="15.65" customHeight="1" x14ac:dyDescent="0.2">
      <c r="K39" s="1" t="s">
        <v>40</v>
      </c>
      <c r="S39" s="157"/>
      <c r="T39" s="157"/>
      <c r="U39" s="157"/>
      <c r="V39" s="157"/>
      <c r="W39" s="157"/>
      <c r="X39" s="157"/>
      <c r="Y39" s="157"/>
    </row>
    <row r="41" spans="2:32" ht="30" customHeight="1" x14ac:dyDescent="0.2">
      <c r="B41" s="146" t="s">
        <v>41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8" t="s">
        <v>42</v>
      </c>
      <c r="M41" s="148"/>
      <c r="N41" s="144" t="s">
        <v>231</v>
      </c>
      <c r="O41" s="144"/>
      <c r="P41" s="144"/>
      <c r="Q41" s="145"/>
    </row>
    <row r="42" spans="2:32" x14ac:dyDescent="0.2">
      <c r="B42" s="1" t="s">
        <v>43</v>
      </c>
    </row>
    <row r="43" spans="2:32" ht="30" customHeight="1" x14ac:dyDescent="0.2">
      <c r="B43" s="89" t="s">
        <v>24</v>
      </c>
      <c r="C43" s="90"/>
      <c r="D43" s="90"/>
      <c r="E43" s="91"/>
      <c r="F43" s="91"/>
      <c r="G43" s="91"/>
      <c r="H43" s="91"/>
      <c r="I43" s="91"/>
      <c r="J43" s="91"/>
      <c r="K43" s="71" t="s">
        <v>44</v>
      </c>
      <c r="L43" s="72"/>
      <c r="M43" s="72"/>
      <c r="N43" s="93"/>
      <c r="O43" s="93"/>
      <c r="P43" s="93"/>
      <c r="Q43" s="94"/>
    </row>
    <row r="44" spans="2:32" ht="30" customHeight="1" x14ac:dyDescent="0.2">
      <c r="B44" s="95" t="s">
        <v>26</v>
      </c>
      <c r="C44" s="96"/>
      <c r="D44" s="96"/>
      <c r="E44" s="97"/>
      <c r="F44" s="97"/>
      <c r="G44" s="97"/>
      <c r="H44" s="97"/>
      <c r="I44" s="97"/>
      <c r="J44" s="97"/>
      <c r="K44" s="119" t="s">
        <v>45</v>
      </c>
      <c r="L44" s="96"/>
      <c r="M44" s="96"/>
      <c r="N44" s="93"/>
      <c r="O44" s="93"/>
      <c r="P44" s="93"/>
      <c r="Q44" s="94"/>
    </row>
    <row r="45" spans="2:32" ht="30" customHeight="1" x14ac:dyDescent="0.2">
      <c r="B45" s="71" t="s">
        <v>46</v>
      </c>
      <c r="C45" s="72"/>
      <c r="D45" s="72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9"/>
    </row>
    <row r="46" spans="2:32" ht="30" customHeight="1" x14ac:dyDescent="0.2">
      <c r="B46" s="71" t="s">
        <v>31</v>
      </c>
      <c r="C46" s="72"/>
      <c r="D46" s="72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9"/>
    </row>
    <row r="48" spans="2:32" x14ac:dyDescent="0.2">
      <c r="B48" s="2" t="s">
        <v>47</v>
      </c>
    </row>
    <row r="49" spans="2:17" ht="30" customHeight="1" x14ac:dyDescent="0.2">
      <c r="B49" s="103" t="s">
        <v>48</v>
      </c>
      <c r="C49" s="106" t="s">
        <v>49</v>
      </c>
      <c r="D49" s="106"/>
      <c r="E49" s="26">
        <v>11</v>
      </c>
      <c r="F49" s="6" t="s">
        <v>22</v>
      </c>
      <c r="G49" s="27">
        <v>5</v>
      </c>
      <c r="H49" s="6" t="s">
        <v>23</v>
      </c>
      <c r="I49" s="26" t="s">
        <v>232</v>
      </c>
      <c r="J49" s="6" t="s">
        <v>38</v>
      </c>
      <c r="K49" s="6"/>
      <c r="L49" s="26">
        <v>10</v>
      </c>
      <c r="M49" s="6" t="s">
        <v>50</v>
      </c>
      <c r="N49" s="28" t="s">
        <v>90</v>
      </c>
      <c r="O49" s="6" t="s">
        <v>51</v>
      </c>
      <c r="P49" s="6"/>
      <c r="Q49" s="7"/>
    </row>
    <row r="50" spans="2:17" ht="30" customHeight="1" x14ac:dyDescent="0.2">
      <c r="B50" s="104"/>
      <c r="C50" s="107" t="s">
        <v>52</v>
      </c>
      <c r="D50" s="8" t="s">
        <v>53</v>
      </c>
      <c r="E50" s="93" t="s">
        <v>234</v>
      </c>
      <c r="F50" s="93"/>
      <c r="G50" s="94"/>
      <c r="H50" s="110" t="s">
        <v>54</v>
      </c>
      <c r="I50" s="111"/>
      <c r="J50" s="93" t="s">
        <v>235</v>
      </c>
      <c r="K50" s="93"/>
      <c r="L50" s="93"/>
      <c r="M50" s="110" t="s">
        <v>55</v>
      </c>
      <c r="N50" s="111"/>
      <c r="O50" s="93"/>
      <c r="P50" s="93"/>
      <c r="Q50" s="94"/>
    </row>
    <row r="51" spans="2:17" ht="30" customHeight="1" x14ac:dyDescent="0.2">
      <c r="B51" s="104"/>
      <c r="C51" s="101"/>
      <c r="D51" s="9" t="s">
        <v>24</v>
      </c>
      <c r="E51" s="99" t="s">
        <v>236</v>
      </c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100"/>
    </row>
    <row r="52" spans="2:17" ht="30" customHeight="1" x14ac:dyDescent="0.2">
      <c r="B52" s="104"/>
      <c r="C52" s="102"/>
      <c r="D52" s="5" t="s">
        <v>52</v>
      </c>
      <c r="E52" s="97" t="s">
        <v>233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8"/>
    </row>
    <row r="53" spans="2:17" ht="30" customHeight="1" x14ac:dyDescent="0.2">
      <c r="B53" s="104"/>
      <c r="C53" s="101" t="s">
        <v>56</v>
      </c>
      <c r="D53" s="9" t="s">
        <v>24</v>
      </c>
      <c r="E53" s="99" t="s">
        <v>238</v>
      </c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100"/>
    </row>
    <row r="54" spans="2:17" ht="30" customHeight="1" x14ac:dyDescent="0.2">
      <c r="B54" s="105"/>
      <c r="C54" s="102"/>
      <c r="D54" s="5" t="s">
        <v>57</v>
      </c>
      <c r="E54" s="97" t="s">
        <v>237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8"/>
    </row>
    <row r="55" spans="2:17" ht="30" customHeight="1" x14ac:dyDescent="0.2">
      <c r="B55" s="103" t="s">
        <v>58</v>
      </c>
      <c r="C55" s="106" t="s">
        <v>49</v>
      </c>
      <c r="D55" s="106"/>
      <c r="E55" s="26">
        <v>11</v>
      </c>
      <c r="F55" s="6" t="s">
        <v>22</v>
      </c>
      <c r="G55" s="27">
        <v>5</v>
      </c>
      <c r="H55" s="6" t="s">
        <v>23</v>
      </c>
      <c r="I55" s="26" t="s">
        <v>232</v>
      </c>
      <c r="J55" s="6" t="s">
        <v>38</v>
      </c>
      <c r="K55" s="6"/>
      <c r="L55" s="26">
        <v>10</v>
      </c>
      <c r="M55" s="6" t="s">
        <v>50</v>
      </c>
      <c r="N55" s="28" t="s">
        <v>90</v>
      </c>
      <c r="O55" s="6" t="s">
        <v>51</v>
      </c>
      <c r="P55" s="6"/>
      <c r="Q55" s="7"/>
    </row>
    <row r="56" spans="2:17" ht="30" customHeight="1" x14ac:dyDescent="0.2">
      <c r="B56" s="104"/>
      <c r="C56" s="112" t="s">
        <v>59</v>
      </c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21" t="s">
        <v>60</v>
      </c>
      <c r="O56" s="20" t="b">
        <v>1</v>
      </c>
      <c r="P56" s="6"/>
      <c r="Q56" s="7"/>
    </row>
    <row r="57" spans="2:17" ht="30" customHeight="1" x14ac:dyDescent="0.2">
      <c r="B57" s="104"/>
      <c r="C57" s="107" t="s">
        <v>52</v>
      </c>
      <c r="D57" s="8" t="s">
        <v>53</v>
      </c>
      <c r="E57" s="108" t="str">
        <f>IF(O56=TRUE,E50&amp; " ","")</f>
        <v xml:space="preserve">341-0025 </v>
      </c>
      <c r="F57" s="108"/>
      <c r="G57" s="109"/>
      <c r="H57" s="110" t="s">
        <v>54</v>
      </c>
      <c r="I57" s="111"/>
      <c r="J57" s="108" t="str">
        <f>IF(O56=TRUE,J50&amp; " ","")</f>
        <v xml:space="preserve">048-952-5885 </v>
      </c>
      <c r="K57" s="108"/>
      <c r="L57" s="108"/>
      <c r="M57" s="110" t="s">
        <v>55</v>
      </c>
      <c r="N57" s="111"/>
      <c r="O57" s="108" t="str">
        <f>IF(O56=TRUE,O50&amp; " ","")</f>
        <v xml:space="preserve"> </v>
      </c>
      <c r="P57" s="108"/>
      <c r="Q57" s="109"/>
    </row>
    <row r="58" spans="2:17" ht="30" customHeight="1" x14ac:dyDescent="0.2">
      <c r="B58" s="104"/>
      <c r="C58" s="101"/>
      <c r="D58" s="9" t="s">
        <v>24</v>
      </c>
      <c r="E58" s="99" t="str">
        <f>IF(O56=TRUE,E51&amp; " ","")</f>
        <v xml:space="preserve">ｻｲﾀﾏｹﾝﾐｻﾄｼﾓﾀｲ </v>
      </c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100"/>
    </row>
    <row r="59" spans="2:17" ht="30" customHeight="1" x14ac:dyDescent="0.2">
      <c r="B59" s="104"/>
      <c r="C59" s="102"/>
      <c r="D59" s="5" t="s">
        <v>52</v>
      </c>
      <c r="E59" s="97" t="str">
        <f>IF(O56=TRUE,E52&amp; " ","")</f>
        <v xml:space="preserve">埼玉県三郷市茂田井１５ 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8"/>
    </row>
    <row r="60" spans="2:17" ht="30" customHeight="1" x14ac:dyDescent="0.2">
      <c r="B60" s="104"/>
      <c r="C60" s="101" t="s">
        <v>57</v>
      </c>
      <c r="D60" s="9" t="s">
        <v>24</v>
      </c>
      <c r="E60" s="99" t="str">
        <f>IF(O56=TRUE,E53&amp; " ","")</f>
        <v xml:space="preserve">ﾐｻﾄｼｻｲｼﾞｮｳ </v>
      </c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100"/>
    </row>
    <row r="61" spans="2:17" ht="30" customHeight="1" x14ac:dyDescent="0.2">
      <c r="B61" s="105"/>
      <c r="C61" s="102"/>
      <c r="D61" s="5" t="s">
        <v>57</v>
      </c>
      <c r="E61" s="97" t="str">
        <f>IF(O56=TRUE,E54&amp; " ","")</f>
        <v xml:space="preserve">三郷市斎場 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8"/>
    </row>
    <row r="63" spans="2:17" ht="30" customHeight="1" x14ac:dyDescent="0.2">
      <c r="B63" s="89" t="s">
        <v>24</v>
      </c>
      <c r="C63" s="90"/>
      <c r="D63" s="90"/>
      <c r="E63" s="91" t="s">
        <v>220</v>
      </c>
      <c r="F63" s="91"/>
      <c r="G63" s="91"/>
      <c r="H63" s="91"/>
      <c r="I63" s="91"/>
      <c r="J63" s="92"/>
      <c r="K63" s="72" t="s">
        <v>44</v>
      </c>
      <c r="L63" s="72"/>
      <c r="M63" s="72"/>
      <c r="N63" s="93" t="s">
        <v>100</v>
      </c>
      <c r="O63" s="93"/>
      <c r="P63" s="93"/>
      <c r="Q63" s="94"/>
    </row>
    <row r="64" spans="2:17" ht="30" customHeight="1" x14ac:dyDescent="0.2">
      <c r="B64" s="95" t="s">
        <v>61</v>
      </c>
      <c r="C64" s="96"/>
      <c r="D64" s="96"/>
      <c r="E64" s="97" t="s">
        <v>221</v>
      </c>
      <c r="F64" s="97"/>
      <c r="G64" s="97"/>
      <c r="H64" s="97"/>
      <c r="I64" s="97"/>
      <c r="J64" s="98"/>
      <c r="K64" s="72" t="s">
        <v>178</v>
      </c>
      <c r="L64" s="72"/>
      <c r="M64" s="72"/>
      <c r="N64" s="93" t="s">
        <v>239</v>
      </c>
      <c r="O64" s="93"/>
      <c r="P64" s="93"/>
      <c r="Q64" s="94"/>
    </row>
    <row r="66" spans="2:17" x14ac:dyDescent="0.2">
      <c r="B66" s="2" t="s">
        <v>62</v>
      </c>
    </row>
    <row r="67" spans="2:17" ht="30" customHeight="1" x14ac:dyDescent="0.2">
      <c r="B67" s="71" t="s">
        <v>63</v>
      </c>
      <c r="C67" s="72"/>
      <c r="D67" s="72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8"/>
    </row>
    <row r="68" spans="2:17" ht="22" customHeight="1" x14ac:dyDescent="0.2"/>
    <row r="69" spans="2:17" ht="30" customHeight="1" x14ac:dyDescent="0.2">
      <c r="B69" s="84" t="s">
        <v>64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6"/>
    </row>
    <row r="70" spans="2:17" ht="30" customHeight="1" x14ac:dyDescent="0.2">
      <c r="B70" s="75" t="s">
        <v>65</v>
      </c>
      <c r="C70" s="83"/>
      <c r="D70" s="75" t="s">
        <v>25</v>
      </c>
      <c r="E70" s="76"/>
      <c r="F70" s="83" t="s">
        <v>66</v>
      </c>
      <c r="G70" s="76"/>
      <c r="H70" s="75" t="s">
        <v>67</v>
      </c>
      <c r="I70" s="76"/>
      <c r="J70" s="75" t="s">
        <v>68</v>
      </c>
      <c r="K70" s="76"/>
      <c r="L70" s="75" t="s">
        <v>69</v>
      </c>
      <c r="M70" s="76"/>
      <c r="N70" s="75"/>
      <c r="O70" s="83"/>
      <c r="P70" s="83"/>
      <c r="Q70" s="76"/>
    </row>
    <row r="71" spans="2:17" ht="79.5" customHeight="1" x14ac:dyDescent="0.2">
      <c r="B71" s="77"/>
      <c r="C71" s="78"/>
      <c r="D71" s="79">
        <f>(N25)</f>
        <v>9040341</v>
      </c>
      <c r="E71" s="80"/>
      <c r="F71" s="81">
        <f>SUM(【M】香典額!B21)</f>
        <v>50000</v>
      </c>
      <c r="G71" s="82"/>
      <c r="H71" s="61"/>
      <c r="I71" s="10"/>
      <c r="J71" s="79"/>
      <c r="K71" s="80"/>
      <c r="L71" s="79"/>
      <c r="M71" s="80"/>
      <c r="N71" s="154"/>
      <c r="O71" s="155"/>
      <c r="P71" s="155"/>
      <c r="Q71" s="156"/>
    </row>
    <row r="72" spans="2:17" x14ac:dyDescent="0.2">
      <c r="D72" s="13"/>
    </row>
  </sheetData>
  <mergeCells count="111">
    <mergeCell ref="J70:K70"/>
    <mergeCell ref="J71:K71"/>
    <mergeCell ref="H70:I70"/>
    <mergeCell ref="N70:Q70"/>
    <mergeCell ref="N71:Q71"/>
    <mergeCell ref="S39:Y39"/>
    <mergeCell ref="S37:Y37"/>
    <mergeCell ref="S38:Y38"/>
    <mergeCell ref="E61:Q61"/>
    <mergeCell ref="H50:I50"/>
    <mergeCell ref="M50:N50"/>
    <mergeCell ref="K64:M64"/>
    <mergeCell ref="N64:Q64"/>
    <mergeCell ref="B33:D33"/>
    <mergeCell ref="E33:J33"/>
    <mergeCell ref="N31:Q31"/>
    <mergeCell ref="K31:M31"/>
    <mergeCell ref="E44:J44"/>
    <mergeCell ref="K44:M44"/>
    <mergeCell ref="N44:Q44"/>
    <mergeCell ref="B38:D38"/>
    <mergeCell ref="B37:D37"/>
    <mergeCell ref="K33:M33"/>
    <mergeCell ref="N33:Q33"/>
    <mergeCell ref="N41:Q41"/>
    <mergeCell ref="B41:K41"/>
    <mergeCell ref="L41:M41"/>
    <mergeCell ref="B31:D31"/>
    <mergeCell ref="E31:J31"/>
    <mergeCell ref="B36:D36"/>
    <mergeCell ref="L37:M37"/>
    <mergeCell ref="L38:M38"/>
    <mergeCell ref="N37:Q37"/>
    <mergeCell ref="N38:Q38"/>
    <mergeCell ref="K36:K38"/>
    <mergeCell ref="L36:M36"/>
    <mergeCell ref="E36:J36"/>
    <mergeCell ref="P1:Q1"/>
    <mergeCell ref="N25:Q25"/>
    <mergeCell ref="E25:J25"/>
    <mergeCell ref="E26:J26"/>
    <mergeCell ref="K26:M26"/>
    <mergeCell ref="K25:M25"/>
    <mergeCell ref="N26:Q26"/>
    <mergeCell ref="B15:J16"/>
    <mergeCell ref="K15:Q16"/>
    <mergeCell ref="B18:D18"/>
    <mergeCell ref="B26:D26"/>
    <mergeCell ref="B25:D25"/>
    <mergeCell ref="B21:D21"/>
    <mergeCell ref="B22:D22"/>
    <mergeCell ref="K21:M21"/>
    <mergeCell ref="E21:J21"/>
    <mergeCell ref="E22:J22"/>
    <mergeCell ref="K22:M22"/>
    <mergeCell ref="N21:Q21"/>
    <mergeCell ref="N22:Q22"/>
    <mergeCell ref="N36:Q36"/>
    <mergeCell ref="E37:J37"/>
    <mergeCell ref="B45:D45"/>
    <mergeCell ref="B46:D46"/>
    <mergeCell ref="E46:Q46"/>
    <mergeCell ref="E45:Q45"/>
    <mergeCell ref="B43:D43"/>
    <mergeCell ref="E43:J43"/>
    <mergeCell ref="K43:M43"/>
    <mergeCell ref="N43:Q43"/>
    <mergeCell ref="B44:D44"/>
    <mergeCell ref="C55:D55"/>
    <mergeCell ref="C57:C59"/>
    <mergeCell ref="E57:G57"/>
    <mergeCell ref="H57:I57"/>
    <mergeCell ref="J57:L57"/>
    <mergeCell ref="M57:N57"/>
    <mergeCell ref="B49:B54"/>
    <mergeCell ref="E51:Q51"/>
    <mergeCell ref="E52:Q52"/>
    <mergeCell ref="E53:Q53"/>
    <mergeCell ref="E54:Q54"/>
    <mergeCell ref="J50:L50"/>
    <mergeCell ref="E50:G50"/>
    <mergeCell ref="O50:Q50"/>
    <mergeCell ref="O57:Q57"/>
    <mergeCell ref="C53:C54"/>
    <mergeCell ref="C56:M56"/>
    <mergeCell ref="C49:D49"/>
    <mergeCell ref="C50:C52"/>
    <mergeCell ref="K30:M30"/>
    <mergeCell ref="N30:Q30"/>
    <mergeCell ref="L70:M70"/>
    <mergeCell ref="B71:C71"/>
    <mergeCell ref="D71:E71"/>
    <mergeCell ref="F71:G71"/>
    <mergeCell ref="L71:M71"/>
    <mergeCell ref="B70:C70"/>
    <mergeCell ref="D70:E70"/>
    <mergeCell ref="F70:G70"/>
    <mergeCell ref="B69:Q69"/>
    <mergeCell ref="B67:D67"/>
    <mergeCell ref="E67:Q67"/>
    <mergeCell ref="B63:D63"/>
    <mergeCell ref="E63:J63"/>
    <mergeCell ref="K63:M63"/>
    <mergeCell ref="N63:Q63"/>
    <mergeCell ref="B64:D64"/>
    <mergeCell ref="E64:J64"/>
    <mergeCell ref="E58:Q58"/>
    <mergeCell ref="E59:Q59"/>
    <mergeCell ref="C60:C61"/>
    <mergeCell ref="E60:Q60"/>
    <mergeCell ref="B55:B61"/>
  </mergeCells>
  <phoneticPr fontId="4"/>
  <conditionalFormatting sqref="E21:E22">
    <cfRule type="cellIs" dxfId="27" priority="5" operator="equal">
      <formula>"　"</formula>
    </cfRule>
  </conditionalFormatting>
  <conditionalFormatting sqref="E49 G49 I49 L49 N49 E50:G50 J50:L50 E51:Q54 E55 G55 I55 L55 N55 E57:G57 J57:L57 E58:Q61 E63:J64 N63:Q64 N25:Q25 E25:J26 E31:J31 E33:J33 E36:J37 N36:Q38">
    <cfRule type="cellIs" dxfId="26" priority="22" operator="equal">
      <formula>""</formula>
    </cfRule>
  </conditionalFormatting>
  <conditionalFormatting sqref="E49 G49 I49 L49 N49 E50:G50 J50:L50 E51:Q54 E55 G55 I55 L55 N55 E57:G57 J57:L57 E58:Q61 E63:J64 N63:Q64">
    <cfRule type="expression" dxfId="25" priority="11">
      <formula>AND($E$21="辞退",$E$22="辞退",$N$21="辞退",$N$22="辞退")</formula>
    </cfRule>
  </conditionalFormatting>
  <conditionalFormatting sqref="E43:J44 N43:Q44 E45:Q46">
    <cfRule type="cellIs" dxfId="24" priority="14" operator="equal">
      <formula>$N$41="有"</formula>
    </cfRule>
    <cfRule type="cellIs" dxfId="23" priority="20" operator="equal">
      <formula>""</formula>
    </cfRule>
  </conditionalFormatting>
  <conditionalFormatting sqref="N21:N22">
    <cfRule type="cellIs" dxfId="22" priority="7" operator="equal">
      <formula>"　"</formula>
    </cfRule>
  </conditionalFormatting>
  <conditionalFormatting sqref="N30:N31">
    <cfRule type="cellIs" dxfId="21" priority="1" operator="equal">
      <formula>""</formula>
    </cfRule>
  </conditionalFormatting>
  <conditionalFormatting sqref="N41:Q41">
    <cfRule type="cellIs" dxfId="20" priority="18" operator="equal">
      <formula>"　　"</formula>
    </cfRule>
  </conditionalFormatting>
  <conditionalFormatting sqref="O67:Q67">
    <cfRule type="cellIs" dxfId="19" priority="16" operator="equal">
      <formula>"　"</formula>
    </cfRule>
  </conditionalFormatting>
  <dataValidations count="16">
    <dataValidation type="list" allowBlank="1" showInputMessage="1" showErrorMessage="1" sqref="E18" xr:uid="{190FC218-FF4F-4BA2-9011-395275778C04}">
      <formula1>"2023,2024,2025"</formula1>
    </dataValidation>
    <dataValidation type="list" allowBlank="1" showInputMessage="1" showErrorMessage="1" sqref="E55 E38 E49 G18" xr:uid="{7332A843-9F80-41AF-994B-29C8CD640BC9}">
      <formula1>"　,1,2,3,4,5,6,7,8,9,10,11,12"</formula1>
    </dataValidation>
    <dataValidation type="list" showInputMessage="1" showErrorMessage="1" sqref="G55 G38 G49 I18" xr:uid="{AFC5E6ED-6E40-471C-85A9-D6493F574F7E}">
      <formula1>"　,1,2,3,4,5,6,7,8,9,10,11,12,13,14,15,16,17,18,19,20,21,22,23,24,25,26,27,28,29,30,31"</formula1>
    </dataValidation>
    <dataValidation type="list" showInputMessage="1" showErrorMessage="1" sqref="E33" xr:uid="{771A84EB-C6BD-430B-BEF9-DFC7BFFBBD31}">
      <formula1>"　,組合,非組"</formula1>
    </dataValidation>
    <dataValidation type="list" showInputMessage="1" showErrorMessage="1" sqref="E31" xr:uid="{3F5FBBD5-E945-49E0-B277-54A3AE3E91B0}">
      <formula1>"　 ,一般社員,主務職,基幹職,経営職,NSPフル,NSPパート,非常勤嘱託,常勤嘱託,パートタイマー"</formula1>
    </dataValidation>
    <dataValidation type="list" allowBlank="1" showInputMessage="1" showErrorMessage="1" sqref="I38 I49 I55" xr:uid="{852C0F6C-0D51-4E1B-93BE-77584AD43856}">
      <formula1>"　,(月）,(火),(水),(木),(金),(土),(日)"</formula1>
    </dataValidation>
    <dataValidation type="list" showInputMessage="1" showErrorMessage="1" sqref="N37" xr:uid="{564E80BE-3D63-4BAB-8ABB-5A06232BE60D}">
      <formula1>"　　,同居,別居"</formula1>
    </dataValidation>
    <dataValidation type="list" showInputMessage="1" showErrorMessage="1" sqref="N36" xr:uid="{68B98979-548A-4A9A-9BA0-5672FA99BBB3}">
      <formula1>"  　　,血族,姻族"</formula1>
    </dataValidation>
    <dataValidation type="list" showInputMessage="1" showErrorMessage="1" sqref="N41" xr:uid="{03017AA5-5BBA-47A9-9C01-9B8764D3E7F8}">
      <formula1>"　　,有,無"</formula1>
    </dataValidation>
    <dataValidation type="list" allowBlank="1" showInputMessage="1" showErrorMessage="1" sqref="L49 L55" xr:uid="{DB123498-9C85-4A4A-A6C0-DE9AE33C0CE1}">
      <formula1>"　,9,10,11,12,13,14,15,16,17,18,19,20,21,22,23"</formula1>
    </dataValidation>
    <dataValidation type="list" allowBlank="1" showInputMessage="1" showErrorMessage="1" sqref="N49 N55" xr:uid="{7C74ADC4-793C-4A96-80A9-607880732B3B}">
      <formula1>"　,00,15,30,45"</formula1>
    </dataValidation>
    <dataValidation type="list" allowBlank="1" showInputMessage="1" showErrorMessage="1" sqref="N38:Q38" xr:uid="{D9554541-893D-4F2F-87DB-0E10E8BD004A}">
      <formula1>"　,配偶者,実父,実母,実子,実女,義父,義母,祖父,祖母,実兄,実弟,実姉,実妹,子女(死産),本人"</formula1>
    </dataValidation>
    <dataValidation type="list" allowBlank="1" showInputMessage="1" showErrorMessage="1" sqref="O67:Q67" xr:uid="{C36D8907-4CAF-4E2A-9768-CD7480CC0667}">
      <formula1>"　,可,辞退"</formula1>
    </dataValidation>
    <dataValidation type="list" allowBlank="1" showInputMessage="1" showErrorMessage="1" sqref="E21:J22 N21:Q21" xr:uid="{F5E793BA-FAE0-4565-8077-2BB0E6BAEC5B}">
      <formula1>"　,会社/組合/個人(職場)から全て可,会社/組合のみ可,会社/組合/個人(職場)から全て辞退"</formula1>
    </dataValidation>
    <dataValidation type="list" allowBlank="1" showInputMessage="1" showErrorMessage="1" sqref="N22:Q22" xr:uid="{80B3851B-5692-47CC-81D7-B57E57E1536F}">
      <formula1>"　,可,個人(職場)からのものは辞退"</formula1>
    </dataValidation>
    <dataValidation type="list" showInputMessage="1" showErrorMessage="1" sqref="N30:Q30" xr:uid="{633440E5-E880-460D-A739-EBEA38EC3E00}">
      <formula1>"マーケティング本部,ソリューションエンジニアリング本部,ライティング事業部,電材＆くらしエネルギー事業部,技術部門(品質・知財含む）,直轄部門,　"</formula1>
    </dataValidation>
  </dataValidations>
  <hyperlinks>
    <hyperlink ref="H3" r:id="rId1" xr:uid="{C3102D53-DC6A-42B4-9922-7B6EE822194B}"/>
  </hyperlinks>
  <pageMargins left="1.0236220472440944" right="0.70866141732283472" top="0.39370078740157483" bottom="0.19685039370078741" header="0" footer="0"/>
  <pageSetup paperSize="9" scale="57" orientation="portrait" horizontalDpi="90" verticalDpi="9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184150</xdr:colOff>
                    <xdr:row>54</xdr:row>
                    <xdr:rowOff>381000</xdr:rowOff>
                  </from>
                  <to>
                    <xdr:col>16</xdr:col>
                    <xdr:colOff>463550</xdr:colOff>
                    <xdr:row>56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3336-7465-4E34-9A3A-45BF4E5F7D57}">
  <sheetPr>
    <pageSetUpPr fitToPage="1"/>
  </sheetPr>
  <dimension ref="B1:AJ72"/>
  <sheetViews>
    <sheetView showGridLines="0" topLeftCell="A28" zoomScaleNormal="100" workbookViewId="0">
      <selection activeCell="S31" sqref="S31"/>
    </sheetView>
  </sheetViews>
  <sheetFormatPr defaultColWidth="8.90625" defaultRowHeight="15" x14ac:dyDescent="0.2"/>
  <cols>
    <col min="1" max="1" width="2.6328125" style="2" customWidth="1"/>
    <col min="2" max="3" width="9.90625" style="2" customWidth="1"/>
    <col min="4" max="5" width="8.90625" style="2"/>
    <col min="6" max="6" width="8.90625" style="2" bestFit="1" customWidth="1"/>
    <col min="7" max="17" width="8.90625" style="2"/>
    <col min="18" max="18" width="3.6328125" style="2" customWidth="1"/>
    <col min="19" max="21" width="8.90625" style="2"/>
    <col min="22" max="22" width="9.08984375" style="2" bestFit="1" customWidth="1"/>
    <col min="23" max="16384" width="8.90625" style="2"/>
  </cols>
  <sheetData>
    <row r="1" spans="2:19" x14ac:dyDescent="0.2">
      <c r="B1" s="2" t="s">
        <v>0</v>
      </c>
      <c r="P1" s="118" t="s">
        <v>1</v>
      </c>
      <c r="Q1" s="118"/>
    </row>
    <row r="3" spans="2:19" ht="22" x14ac:dyDescent="0.2">
      <c r="B3" s="16" t="s">
        <v>2</v>
      </c>
      <c r="C3" s="15"/>
      <c r="D3" s="15"/>
      <c r="E3" s="15"/>
      <c r="F3" s="15"/>
      <c r="H3" s="62" t="s">
        <v>3</v>
      </c>
      <c r="I3" s="15"/>
      <c r="J3" s="15"/>
      <c r="K3" s="15"/>
      <c r="L3" s="15"/>
      <c r="M3" s="15"/>
      <c r="N3" s="15"/>
      <c r="O3" s="15"/>
    </row>
    <row r="5" spans="2:19" x14ac:dyDescent="0.2">
      <c r="B5" s="19" t="s">
        <v>4</v>
      </c>
      <c r="C5" s="11" t="s">
        <v>5</v>
      </c>
    </row>
    <row r="6" spans="2:19" x14ac:dyDescent="0.2">
      <c r="C6" s="2" t="s">
        <v>6</v>
      </c>
    </row>
    <row r="7" spans="2:19" x14ac:dyDescent="0.2">
      <c r="C7" s="11" t="s">
        <v>7</v>
      </c>
      <c r="G7" s="11" t="s">
        <v>8</v>
      </c>
    </row>
    <row r="8" spans="2:19" x14ac:dyDescent="0.2">
      <c r="B8" s="19" t="s">
        <v>9</v>
      </c>
      <c r="C8" s="11" t="s">
        <v>10</v>
      </c>
    </row>
    <row r="9" spans="2:19" x14ac:dyDescent="0.2">
      <c r="B9" s="19"/>
      <c r="C9" s="2" t="s">
        <v>11</v>
      </c>
    </row>
    <row r="10" spans="2:19" x14ac:dyDescent="0.2">
      <c r="B10" s="19" t="s">
        <v>12</v>
      </c>
      <c r="C10" s="2" t="s">
        <v>13</v>
      </c>
    </row>
    <row r="11" spans="2:19" x14ac:dyDescent="0.2">
      <c r="B11" s="19" t="s">
        <v>14</v>
      </c>
      <c r="C11" s="29" t="s">
        <v>15</v>
      </c>
      <c r="D11" s="29"/>
      <c r="E11" s="29"/>
    </row>
    <row r="12" spans="2:19" x14ac:dyDescent="0.2">
      <c r="B12" s="19" t="s">
        <v>16</v>
      </c>
      <c r="C12" s="14" t="s">
        <v>17</v>
      </c>
      <c r="D12" s="15"/>
      <c r="E12" s="15"/>
      <c r="F12" s="15"/>
      <c r="G12" s="15"/>
      <c r="H12" s="15"/>
      <c r="I12" s="15"/>
      <c r="J12" s="15"/>
      <c r="K12" s="15"/>
    </row>
    <row r="13" spans="2:19" x14ac:dyDescent="0.2">
      <c r="B13" s="19"/>
      <c r="C13" s="2" t="s">
        <v>18</v>
      </c>
    </row>
    <row r="14" spans="2:19" ht="15.5" thickBot="1" x14ac:dyDescent="0.25"/>
    <row r="15" spans="2:19" ht="15" customHeight="1" x14ac:dyDescent="0.2">
      <c r="B15" s="120" t="s">
        <v>19</v>
      </c>
      <c r="C15" s="121"/>
      <c r="D15" s="121"/>
      <c r="E15" s="121"/>
      <c r="F15" s="121"/>
      <c r="G15" s="121"/>
      <c r="H15" s="121"/>
      <c r="I15" s="121"/>
      <c r="J15" s="121"/>
      <c r="K15" s="124" t="s">
        <v>196</v>
      </c>
      <c r="L15" s="124"/>
      <c r="M15" s="124"/>
      <c r="N15" s="124"/>
      <c r="O15" s="124"/>
      <c r="P15" s="124"/>
      <c r="Q15" s="125"/>
    </row>
    <row r="16" spans="2:19" ht="15" customHeight="1" thickBot="1" x14ac:dyDescent="0.25">
      <c r="B16" s="122"/>
      <c r="C16" s="123"/>
      <c r="D16" s="123"/>
      <c r="E16" s="123"/>
      <c r="F16" s="123"/>
      <c r="G16" s="123"/>
      <c r="H16" s="123"/>
      <c r="I16" s="123"/>
      <c r="J16" s="123"/>
      <c r="K16" s="126"/>
      <c r="L16" s="126"/>
      <c r="M16" s="126"/>
      <c r="N16" s="126"/>
      <c r="O16" s="126"/>
      <c r="P16" s="126"/>
      <c r="Q16" s="127"/>
      <c r="S16" s="11"/>
    </row>
    <row r="18" spans="2:36" ht="30" customHeight="1" x14ac:dyDescent="0.2">
      <c r="B18" s="71" t="s">
        <v>20</v>
      </c>
      <c r="C18" s="72"/>
      <c r="D18" s="72"/>
      <c r="E18" s="22"/>
      <c r="F18" s="3" t="s">
        <v>21</v>
      </c>
      <c r="G18" s="22"/>
      <c r="H18" s="3" t="s">
        <v>22</v>
      </c>
      <c r="I18" s="23"/>
      <c r="J18" s="4" t="s">
        <v>23</v>
      </c>
    </row>
    <row r="19" spans="2:36" ht="15" customHeight="1" x14ac:dyDescent="0.2"/>
    <row r="20" spans="2:36" ht="15" customHeight="1" x14ac:dyDescent="0.2"/>
    <row r="21" spans="2:36" ht="30" customHeight="1" x14ac:dyDescent="0.2">
      <c r="B21" s="128" t="s">
        <v>192</v>
      </c>
      <c r="C21" s="129"/>
      <c r="D21" s="129"/>
      <c r="E21" s="159" t="s">
        <v>183</v>
      </c>
      <c r="F21" s="160"/>
      <c r="G21" s="160"/>
      <c r="H21" s="160"/>
      <c r="I21" s="160"/>
      <c r="J21" s="161"/>
      <c r="K21" s="130" t="s">
        <v>190</v>
      </c>
      <c r="L21" s="128"/>
      <c r="M21" s="128"/>
      <c r="N21" s="159" t="s">
        <v>183</v>
      </c>
      <c r="O21" s="160"/>
      <c r="P21" s="160"/>
      <c r="Q21" s="161"/>
    </row>
    <row r="22" spans="2:36" ht="30" customHeight="1" x14ac:dyDescent="0.2">
      <c r="B22" s="128" t="s">
        <v>193</v>
      </c>
      <c r="C22" s="129"/>
      <c r="D22" s="129"/>
      <c r="E22" s="159" t="s">
        <v>183</v>
      </c>
      <c r="F22" s="160"/>
      <c r="G22" s="160"/>
      <c r="H22" s="160"/>
      <c r="I22" s="160"/>
      <c r="J22" s="161"/>
      <c r="K22" s="134" t="s">
        <v>191</v>
      </c>
      <c r="L22" s="135"/>
      <c r="M22" s="135"/>
      <c r="N22" s="159" t="s">
        <v>194</v>
      </c>
      <c r="O22" s="160"/>
      <c r="P22" s="160"/>
      <c r="Q22" s="161"/>
    </row>
    <row r="25" spans="2:36" ht="30" customHeight="1" x14ac:dyDescent="0.2">
      <c r="B25" s="89" t="s">
        <v>24</v>
      </c>
      <c r="C25" s="90"/>
      <c r="D25" s="90"/>
      <c r="E25" s="168" t="s">
        <v>70</v>
      </c>
      <c r="F25" s="168"/>
      <c r="G25" s="168"/>
      <c r="H25" s="168"/>
      <c r="I25" s="168"/>
      <c r="J25" s="168"/>
      <c r="K25" s="71" t="s">
        <v>25</v>
      </c>
      <c r="L25" s="72"/>
      <c r="M25" s="72"/>
      <c r="N25" s="169">
        <v>1234567</v>
      </c>
      <c r="O25" s="169"/>
      <c r="P25" s="169"/>
      <c r="Q25" s="170"/>
    </row>
    <row r="26" spans="2:36" ht="30" customHeight="1" x14ac:dyDescent="0.2">
      <c r="B26" s="95" t="s">
        <v>26</v>
      </c>
      <c r="C26" s="96"/>
      <c r="D26" s="96"/>
      <c r="E26" s="162" t="s">
        <v>71</v>
      </c>
      <c r="F26" s="162"/>
      <c r="G26" s="162"/>
      <c r="H26" s="162"/>
      <c r="I26" s="162"/>
      <c r="J26" s="163"/>
      <c r="K26" s="119" t="s">
        <v>27</v>
      </c>
      <c r="L26" s="96"/>
      <c r="M26" s="96"/>
      <c r="N26" s="93" t="s">
        <v>72</v>
      </c>
      <c r="O26" s="93"/>
      <c r="P26" s="93"/>
      <c r="Q26" s="94"/>
    </row>
    <row r="27" spans="2:36" x14ac:dyDescent="0.2">
      <c r="K27" s="1" t="s">
        <v>28</v>
      </c>
    </row>
    <row r="28" spans="2:36" x14ac:dyDescent="0.2">
      <c r="K28" s="1" t="s">
        <v>29</v>
      </c>
    </row>
    <row r="29" spans="2:36" ht="15" customHeight="1" x14ac:dyDescent="0.2"/>
    <row r="30" spans="2:36" ht="27.65" customHeight="1" x14ac:dyDescent="0.2">
      <c r="K30" s="71" t="s">
        <v>197</v>
      </c>
      <c r="L30" s="72"/>
      <c r="M30" s="72"/>
      <c r="N30" s="142" t="s">
        <v>216</v>
      </c>
      <c r="O30" s="142"/>
      <c r="P30" s="142"/>
      <c r="Q30" s="143"/>
    </row>
    <row r="31" spans="2:36" ht="30" customHeight="1" x14ac:dyDescent="0.2">
      <c r="B31" s="71" t="s">
        <v>30</v>
      </c>
      <c r="C31" s="72"/>
      <c r="D31" s="72"/>
      <c r="E31" s="164" t="s">
        <v>73</v>
      </c>
      <c r="F31" s="164"/>
      <c r="G31" s="164"/>
      <c r="H31" s="164"/>
      <c r="I31" s="164"/>
      <c r="J31" s="165"/>
      <c r="K31" s="71" t="s">
        <v>31</v>
      </c>
      <c r="L31" s="72"/>
      <c r="M31" s="72"/>
      <c r="N31" s="166" t="s">
        <v>74</v>
      </c>
      <c r="O31" s="166"/>
      <c r="P31" s="166"/>
      <c r="Q31" s="167"/>
    </row>
    <row r="32" spans="2:36" x14ac:dyDescent="0.2">
      <c r="AD32" s="158"/>
      <c r="AE32" s="157"/>
      <c r="AF32" s="157"/>
      <c r="AG32" s="157"/>
      <c r="AH32" s="157"/>
      <c r="AI32" s="157"/>
      <c r="AJ32" s="157"/>
    </row>
    <row r="33" spans="2:25" ht="30" customHeight="1" x14ac:dyDescent="0.2">
      <c r="B33" s="71" t="s">
        <v>32</v>
      </c>
      <c r="C33" s="72"/>
      <c r="D33" s="72"/>
      <c r="E33" s="164" t="s">
        <v>75</v>
      </c>
      <c r="F33" s="164"/>
      <c r="G33" s="164"/>
      <c r="H33" s="164"/>
      <c r="I33" s="164"/>
      <c r="J33" s="165"/>
      <c r="K33" s="140" t="s">
        <v>195</v>
      </c>
      <c r="L33" s="141"/>
      <c r="M33" s="141"/>
      <c r="N33" s="142" t="s">
        <v>217</v>
      </c>
      <c r="O33" s="142"/>
      <c r="P33" s="142"/>
      <c r="Q33" s="143"/>
    </row>
    <row r="36" spans="2:25" ht="30" customHeight="1" x14ac:dyDescent="0.2">
      <c r="B36" s="89" t="s">
        <v>24</v>
      </c>
      <c r="C36" s="90"/>
      <c r="D36" s="90"/>
      <c r="E36" s="168" t="s">
        <v>76</v>
      </c>
      <c r="F36" s="168"/>
      <c r="G36" s="168"/>
      <c r="H36" s="168"/>
      <c r="I36" s="168"/>
      <c r="J36" s="173"/>
      <c r="K36" s="151" t="s">
        <v>33</v>
      </c>
      <c r="L36" s="148" t="s">
        <v>34</v>
      </c>
      <c r="M36" s="148"/>
      <c r="N36" s="164" t="s">
        <v>77</v>
      </c>
      <c r="O36" s="164"/>
      <c r="P36" s="164"/>
      <c r="Q36" s="165"/>
      <c r="S36" s="12"/>
    </row>
    <row r="37" spans="2:25" ht="30" customHeight="1" x14ac:dyDescent="0.2">
      <c r="B37" s="138" t="s">
        <v>35</v>
      </c>
      <c r="C37" s="139"/>
      <c r="D37" s="139"/>
      <c r="E37" s="162" t="s">
        <v>78</v>
      </c>
      <c r="F37" s="162"/>
      <c r="G37" s="162"/>
      <c r="H37" s="162"/>
      <c r="I37" s="162"/>
      <c r="J37" s="163"/>
      <c r="K37" s="152"/>
      <c r="L37" s="148" t="s">
        <v>36</v>
      </c>
      <c r="M37" s="148"/>
      <c r="N37" s="171" t="s">
        <v>79</v>
      </c>
      <c r="O37" s="171"/>
      <c r="P37" s="171"/>
      <c r="Q37" s="172"/>
      <c r="S37" s="158"/>
      <c r="T37" s="158"/>
      <c r="U37" s="158"/>
      <c r="V37" s="158"/>
      <c r="W37" s="158"/>
      <c r="X37" s="158"/>
      <c r="Y37" s="158"/>
    </row>
    <row r="38" spans="2:25" ht="30" customHeight="1" x14ac:dyDescent="0.2">
      <c r="B38" s="71" t="s">
        <v>37</v>
      </c>
      <c r="C38" s="72"/>
      <c r="D38" s="72"/>
      <c r="E38" s="24">
        <v>4</v>
      </c>
      <c r="F38" s="3" t="s">
        <v>22</v>
      </c>
      <c r="G38" s="25">
        <v>1</v>
      </c>
      <c r="H38" s="3" t="s">
        <v>23</v>
      </c>
      <c r="I38" s="24" t="s">
        <v>80</v>
      </c>
      <c r="J38" s="3" t="s">
        <v>38</v>
      </c>
      <c r="K38" s="153"/>
      <c r="L38" s="148" t="s">
        <v>39</v>
      </c>
      <c r="M38" s="148"/>
      <c r="N38" s="164" t="s">
        <v>81</v>
      </c>
      <c r="O38" s="164"/>
      <c r="P38" s="164"/>
      <c r="Q38" s="165"/>
      <c r="S38" s="158"/>
      <c r="T38" s="157"/>
      <c r="U38" s="157"/>
      <c r="V38" s="157"/>
      <c r="W38" s="157"/>
      <c r="X38" s="157"/>
      <c r="Y38" s="157"/>
    </row>
    <row r="39" spans="2:25" ht="15.65" customHeight="1" x14ac:dyDescent="0.2">
      <c r="K39" s="1" t="s">
        <v>40</v>
      </c>
      <c r="S39" s="157"/>
      <c r="T39" s="157"/>
      <c r="U39" s="157"/>
      <c r="V39" s="157"/>
      <c r="W39" s="157"/>
      <c r="X39" s="157"/>
      <c r="Y39" s="157"/>
    </row>
    <row r="41" spans="2:25" ht="30" customHeight="1" x14ac:dyDescent="0.2">
      <c r="B41" s="146" t="s">
        <v>41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8" t="s">
        <v>42</v>
      </c>
      <c r="M41" s="148"/>
      <c r="N41" s="174" t="s">
        <v>82</v>
      </c>
      <c r="O41" s="174"/>
      <c r="P41" s="174"/>
      <c r="Q41" s="175"/>
    </row>
    <row r="42" spans="2:25" x14ac:dyDescent="0.2">
      <c r="B42" s="1" t="s">
        <v>43</v>
      </c>
    </row>
    <row r="43" spans="2:25" ht="30" customHeight="1" x14ac:dyDescent="0.2">
      <c r="B43" s="89" t="s">
        <v>24</v>
      </c>
      <c r="C43" s="90"/>
      <c r="D43" s="90"/>
      <c r="E43" s="91" t="s">
        <v>83</v>
      </c>
      <c r="F43" s="91"/>
      <c r="G43" s="91"/>
      <c r="H43" s="91"/>
      <c r="I43" s="91"/>
      <c r="J43" s="91"/>
      <c r="K43" s="71" t="s">
        <v>44</v>
      </c>
      <c r="L43" s="72"/>
      <c r="M43" s="72"/>
      <c r="N43" s="93" t="s">
        <v>84</v>
      </c>
      <c r="O43" s="93"/>
      <c r="P43" s="93"/>
      <c r="Q43" s="94"/>
    </row>
    <row r="44" spans="2:25" ht="30" customHeight="1" x14ac:dyDescent="0.2">
      <c r="B44" s="95" t="s">
        <v>26</v>
      </c>
      <c r="C44" s="96"/>
      <c r="D44" s="96"/>
      <c r="E44" s="97" t="s">
        <v>85</v>
      </c>
      <c r="F44" s="97"/>
      <c r="G44" s="97"/>
      <c r="H44" s="97"/>
      <c r="I44" s="97"/>
      <c r="J44" s="98"/>
      <c r="K44" s="119" t="s">
        <v>45</v>
      </c>
      <c r="L44" s="96"/>
      <c r="M44" s="96"/>
      <c r="N44" s="93" t="s">
        <v>86</v>
      </c>
      <c r="O44" s="93"/>
      <c r="P44" s="93"/>
      <c r="Q44" s="94"/>
    </row>
    <row r="45" spans="2:25" ht="30" customHeight="1" x14ac:dyDescent="0.2">
      <c r="B45" s="71" t="s">
        <v>46</v>
      </c>
      <c r="C45" s="72"/>
      <c r="D45" s="72"/>
      <c r="E45" s="108" t="s">
        <v>87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9"/>
    </row>
    <row r="46" spans="2:25" ht="30" customHeight="1" x14ac:dyDescent="0.2">
      <c r="B46" s="71" t="s">
        <v>31</v>
      </c>
      <c r="C46" s="72"/>
      <c r="D46" s="72"/>
      <c r="E46" s="108" t="s">
        <v>88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9"/>
    </row>
    <row r="48" spans="2:25" x14ac:dyDescent="0.2">
      <c r="B48" s="2" t="s">
        <v>47</v>
      </c>
    </row>
    <row r="49" spans="2:17" ht="30" customHeight="1" x14ac:dyDescent="0.2">
      <c r="B49" s="103" t="s">
        <v>48</v>
      </c>
      <c r="C49" s="106" t="s">
        <v>49</v>
      </c>
      <c r="D49" s="106"/>
      <c r="E49" s="66">
        <v>4</v>
      </c>
      <c r="F49" s="6" t="s">
        <v>22</v>
      </c>
      <c r="G49" s="67">
        <v>3</v>
      </c>
      <c r="H49" s="6" t="s">
        <v>23</v>
      </c>
      <c r="I49" s="66" t="s">
        <v>89</v>
      </c>
      <c r="J49" s="6" t="s">
        <v>38</v>
      </c>
      <c r="K49" s="6"/>
      <c r="L49" s="66">
        <v>18</v>
      </c>
      <c r="M49" s="6" t="s">
        <v>50</v>
      </c>
      <c r="N49" s="68" t="s">
        <v>90</v>
      </c>
      <c r="O49" s="6" t="s">
        <v>51</v>
      </c>
      <c r="P49" s="6"/>
      <c r="Q49" s="7"/>
    </row>
    <row r="50" spans="2:17" ht="30" customHeight="1" x14ac:dyDescent="0.2">
      <c r="B50" s="104"/>
      <c r="C50" s="107" t="s">
        <v>52</v>
      </c>
      <c r="D50" s="8" t="s">
        <v>53</v>
      </c>
      <c r="E50" s="176" t="s">
        <v>91</v>
      </c>
      <c r="F50" s="176"/>
      <c r="G50" s="177"/>
      <c r="H50" s="110" t="s">
        <v>54</v>
      </c>
      <c r="I50" s="111"/>
      <c r="J50" s="176" t="s">
        <v>92</v>
      </c>
      <c r="K50" s="176"/>
      <c r="L50" s="176"/>
      <c r="M50" s="110" t="s">
        <v>55</v>
      </c>
      <c r="N50" s="111"/>
      <c r="O50" s="93"/>
      <c r="P50" s="93"/>
      <c r="Q50" s="94"/>
    </row>
    <row r="51" spans="2:17" ht="30" customHeight="1" x14ac:dyDescent="0.2">
      <c r="B51" s="104"/>
      <c r="C51" s="101"/>
      <c r="D51" s="9" t="s">
        <v>24</v>
      </c>
      <c r="E51" s="178" t="s">
        <v>93</v>
      </c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9"/>
    </row>
    <row r="52" spans="2:17" ht="30" customHeight="1" x14ac:dyDescent="0.2">
      <c r="B52" s="104"/>
      <c r="C52" s="102"/>
      <c r="D52" s="5" t="s">
        <v>52</v>
      </c>
      <c r="E52" s="162" t="s">
        <v>94</v>
      </c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</row>
    <row r="53" spans="2:17" ht="30" customHeight="1" x14ac:dyDescent="0.2">
      <c r="B53" s="104"/>
      <c r="C53" s="101" t="s">
        <v>56</v>
      </c>
      <c r="D53" s="9" t="s">
        <v>24</v>
      </c>
      <c r="E53" s="178" t="s">
        <v>95</v>
      </c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9"/>
    </row>
    <row r="54" spans="2:17" ht="30" customHeight="1" x14ac:dyDescent="0.2">
      <c r="B54" s="105"/>
      <c r="C54" s="102"/>
      <c r="D54" s="5" t="s">
        <v>57</v>
      </c>
      <c r="E54" s="162" t="s">
        <v>96</v>
      </c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</row>
    <row r="55" spans="2:17" ht="30" customHeight="1" x14ac:dyDescent="0.2">
      <c r="B55" s="103" t="s">
        <v>58</v>
      </c>
      <c r="C55" s="106" t="s">
        <v>49</v>
      </c>
      <c r="D55" s="106"/>
      <c r="E55" s="66">
        <v>4</v>
      </c>
      <c r="F55" s="6" t="s">
        <v>22</v>
      </c>
      <c r="G55" s="67">
        <v>4</v>
      </c>
      <c r="H55" s="6" t="s">
        <v>23</v>
      </c>
      <c r="I55" s="66" t="s">
        <v>97</v>
      </c>
      <c r="J55" s="6" t="s">
        <v>38</v>
      </c>
      <c r="K55" s="6"/>
      <c r="L55" s="66">
        <v>10</v>
      </c>
      <c r="M55" s="6" t="s">
        <v>50</v>
      </c>
      <c r="N55" s="68" t="s">
        <v>98</v>
      </c>
      <c r="O55" s="6" t="s">
        <v>51</v>
      </c>
      <c r="P55" s="6"/>
      <c r="Q55" s="7"/>
    </row>
    <row r="56" spans="2:17" ht="30" customHeight="1" x14ac:dyDescent="0.2">
      <c r="B56" s="104"/>
      <c r="C56" s="112" t="s">
        <v>59</v>
      </c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21" t="s">
        <v>60</v>
      </c>
      <c r="O56" s="20" t="b">
        <v>1</v>
      </c>
      <c r="P56" s="6"/>
      <c r="Q56" s="7"/>
    </row>
    <row r="57" spans="2:17" ht="30" customHeight="1" x14ac:dyDescent="0.2">
      <c r="B57" s="104"/>
      <c r="C57" s="107" t="s">
        <v>52</v>
      </c>
      <c r="D57" s="8" t="s">
        <v>53</v>
      </c>
      <c r="E57" s="169" t="str">
        <f>IF(O56=TRUE,E50&amp; " ","")</f>
        <v xml:space="preserve">570-0021 </v>
      </c>
      <c r="F57" s="169"/>
      <c r="G57" s="170"/>
      <c r="H57" s="110" t="s">
        <v>54</v>
      </c>
      <c r="I57" s="111"/>
      <c r="J57" s="169" t="str">
        <f>IF(O56=TRUE,J50&amp; " ","")</f>
        <v xml:space="preserve">090-1234-5678 </v>
      </c>
      <c r="K57" s="169"/>
      <c r="L57" s="169"/>
      <c r="M57" s="110" t="s">
        <v>55</v>
      </c>
      <c r="N57" s="111"/>
      <c r="O57" s="108" t="str">
        <f>IF(O56=TRUE,O50&amp; " ","")</f>
        <v xml:space="preserve"> </v>
      </c>
      <c r="P57" s="108"/>
      <c r="Q57" s="109"/>
    </row>
    <row r="58" spans="2:17" ht="30" customHeight="1" x14ac:dyDescent="0.2">
      <c r="B58" s="104"/>
      <c r="C58" s="101"/>
      <c r="D58" s="9" t="s">
        <v>24</v>
      </c>
      <c r="E58" s="178" t="str">
        <f>IF(O56=TRUE,E51&amp; " ","")</f>
        <v xml:space="preserve">オオサカフカドマシオオアザカドマ1048バンチ </v>
      </c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9"/>
    </row>
    <row r="59" spans="2:17" ht="30" customHeight="1" x14ac:dyDescent="0.2">
      <c r="B59" s="104"/>
      <c r="C59" s="102"/>
      <c r="D59" s="5" t="s">
        <v>52</v>
      </c>
      <c r="E59" s="162" t="str">
        <f>IF(O56=TRUE,E52&amp; " ","")</f>
        <v xml:space="preserve">大阪府門真市大字門真1048 番地 </v>
      </c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3"/>
    </row>
    <row r="60" spans="2:17" ht="30" customHeight="1" x14ac:dyDescent="0.2">
      <c r="B60" s="104"/>
      <c r="C60" s="101" t="s">
        <v>57</v>
      </c>
      <c r="D60" s="9" t="s">
        <v>24</v>
      </c>
      <c r="E60" s="178" t="str">
        <f>IF(O56=TRUE,E53&amp; " ","")</f>
        <v xml:space="preserve">○○○○カイカン　カドマホール </v>
      </c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9"/>
    </row>
    <row r="61" spans="2:17" ht="30" customHeight="1" x14ac:dyDescent="0.2">
      <c r="B61" s="105"/>
      <c r="C61" s="102"/>
      <c r="D61" s="5" t="s">
        <v>57</v>
      </c>
      <c r="E61" s="162" t="str">
        <f>IF(O56=TRUE,E54&amp; " ","")</f>
        <v xml:space="preserve">○○○○会館　門真ホール </v>
      </c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3"/>
    </row>
    <row r="63" spans="2:17" ht="30" customHeight="1" x14ac:dyDescent="0.2">
      <c r="B63" s="89" t="s">
        <v>24</v>
      </c>
      <c r="C63" s="90"/>
      <c r="D63" s="90"/>
      <c r="E63" s="168" t="s">
        <v>99</v>
      </c>
      <c r="F63" s="168"/>
      <c r="G63" s="168"/>
      <c r="H63" s="168"/>
      <c r="I63" s="168"/>
      <c r="J63" s="168"/>
      <c r="K63" s="71" t="s">
        <v>44</v>
      </c>
      <c r="L63" s="72"/>
      <c r="M63" s="72"/>
      <c r="N63" s="176" t="s">
        <v>100</v>
      </c>
      <c r="O63" s="176"/>
      <c r="P63" s="176"/>
      <c r="Q63" s="177"/>
    </row>
    <row r="64" spans="2:17" ht="30" customHeight="1" x14ac:dyDescent="0.2">
      <c r="B64" s="95" t="s">
        <v>61</v>
      </c>
      <c r="C64" s="96"/>
      <c r="D64" s="96"/>
      <c r="E64" s="162" t="s">
        <v>101</v>
      </c>
      <c r="F64" s="162"/>
      <c r="G64" s="162"/>
      <c r="H64" s="162"/>
      <c r="I64" s="162"/>
      <c r="J64" s="163"/>
      <c r="K64" s="72" t="s">
        <v>179</v>
      </c>
      <c r="L64" s="72"/>
      <c r="M64" s="72"/>
      <c r="N64" s="93" t="s">
        <v>180</v>
      </c>
      <c r="O64" s="93"/>
      <c r="P64" s="93"/>
      <c r="Q64" s="94"/>
    </row>
    <row r="66" spans="2:17" x14ac:dyDescent="0.2">
      <c r="B66" s="2" t="s">
        <v>62</v>
      </c>
    </row>
    <row r="67" spans="2:17" ht="30" customHeight="1" x14ac:dyDescent="0.2">
      <c r="B67" s="71" t="s">
        <v>63</v>
      </c>
      <c r="C67" s="72"/>
      <c r="D67" s="72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8"/>
    </row>
    <row r="68" spans="2:17" ht="22" customHeight="1" x14ac:dyDescent="0.2"/>
    <row r="69" spans="2:17" ht="30" customHeight="1" x14ac:dyDescent="0.2">
      <c r="B69" s="84" t="s">
        <v>64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6"/>
    </row>
    <row r="70" spans="2:17" ht="30" customHeight="1" x14ac:dyDescent="0.2">
      <c r="B70" s="75" t="s">
        <v>65</v>
      </c>
      <c r="C70" s="83"/>
      <c r="D70" s="75" t="s">
        <v>25</v>
      </c>
      <c r="E70" s="76"/>
      <c r="F70" s="83" t="s">
        <v>66</v>
      </c>
      <c r="G70" s="76"/>
      <c r="H70" s="75" t="s">
        <v>67</v>
      </c>
      <c r="I70" s="76"/>
      <c r="J70" s="75" t="s">
        <v>68</v>
      </c>
      <c r="K70" s="76"/>
      <c r="L70" s="75" t="s">
        <v>69</v>
      </c>
      <c r="M70" s="76"/>
      <c r="N70" s="75"/>
      <c r="O70" s="83"/>
      <c r="P70" s="83"/>
      <c r="Q70" s="76"/>
    </row>
    <row r="71" spans="2:17" ht="79.5" customHeight="1" x14ac:dyDescent="0.2">
      <c r="B71" s="77" t="s">
        <v>102</v>
      </c>
      <c r="C71" s="78"/>
      <c r="D71" s="79">
        <f>(N25)</f>
        <v>1234567</v>
      </c>
      <c r="E71" s="80"/>
      <c r="F71" s="81">
        <v>50000</v>
      </c>
      <c r="G71" s="82"/>
      <c r="H71" s="61"/>
      <c r="I71" s="10"/>
      <c r="J71" s="79"/>
      <c r="K71" s="80"/>
      <c r="L71" s="79"/>
      <c r="M71" s="80"/>
      <c r="N71" s="154"/>
      <c r="O71" s="155"/>
      <c r="P71" s="155"/>
      <c r="Q71" s="156"/>
    </row>
    <row r="72" spans="2:17" x14ac:dyDescent="0.2">
      <c r="D72" s="13"/>
    </row>
  </sheetData>
  <mergeCells count="112">
    <mergeCell ref="B71:C71"/>
    <mergeCell ref="D71:E71"/>
    <mergeCell ref="F71:G71"/>
    <mergeCell ref="L71:M71"/>
    <mergeCell ref="B64:D64"/>
    <mergeCell ref="E64:J64"/>
    <mergeCell ref="B67:D67"/>
    <mergeCell ref="E67:Q67"/>
    <mergeCell ref="B69:Q69"/>
    <mergeCell ref="B70:C70"/>
    <mergeCell ref="D70:E70"/>
    <mergeCell ref="F70:G70"/>
    <mergeCell ref="L70:M70"/>
    <mergeCell ref="H70:I70"/>
    <mergeCell ref="J70:K70"/>
    <mergeCell ref="N70:Q70"/>
    <mergeCell ref="J71:K71"/>
    <mergeCell ref="N71:Q71"/>
    <mergeCell ref="K64:M64"/>
    <mergeCell ref="N64:Q64"/>
    <mergeCell ref="B55:B61"/>
    <mergeCell ref="C55:D55"/>
    <mergeCell ref="C56:M56"/>
    <mergeCell ref="C57:C59"/>
    <mergeCell ref="E57:G57"/>
    <mergeCell ref="C60:C61"/>
    <mergeCell ref="E60:Q60"/>
    <mergeCell ref="E61:Q61"/>
    <mergeCell ref="B63:D63"/>
    <mergeCell ref="E63:J63"/>
    <mergeCell ref="K63:M63"/>
    <mergeCell ref="N63:Q63"/>
    <mergeCell ref="H57:I57"/>
    <mergeCell ref="J57:L57"/>
    <mergeCell ref="M57:N57"/>
    <mergeCell ref="O57:Q57"/>
    <mergeCell ref="E58:Q58"/>
    <mergeCell ref="E59:Q59"/>
    <mergeCell ref="B46:D46"/>
    <mergeCell ref="E46:Q46"/>
    <mergeCell ref="B49:B54"/>
    <mergeCell ref="C49:D49"/>
    <mergeCell ref="C50:C52"/>
    <mergeCell ref="E50:G50"/>
    <mergeCell ref="H50:I50"/>
    <mergeCell ref="J50:L50"/>
    <mergeCell ref="M50:N50"/>
    <mergeCell ref="O50:Q50"/>
    <mergeCell ref="E51:Q51"/>
    <mergeCell ref="E52:Q52"/>
    <mergeCell ref="C53:C54"/>
    <mergeCell ref="E53:Q53"/>
    <mergeCell ref="E54:Q54"/>
    <mergeCell ref="B44:D44"/>
    <mergeCell ref="E44:J44"/>
    <mergeCell ref="K44:M44"/>
    <mergeCell ref="N44:Q44"/>
    <mergeCell ref="B45:D45"/>
    <mergeCell ref="E45:Q45"/>
    <mergeCell ref="S39:Y39"/>
    <mergeCell ref="B41:K41"/>
    <mergeCell ref="L41:M41"/>
    <mergeCell ref="N41:Q41"/>
    <mergeCell ref="B43:D43"/>
    <mergeCell ref="E43:J43"/>
    <mergeCell ref="K43:M43"/>
    <mergeCell ref="N43:Q43"/>
    <mergeCell ref="L37:M37"/>
    <mergeCell ref="N37:Q37"/>
    <mergeCell ref="S37:Y37"/>
    <mergeCell ref="B38:D38"/>
    <mergeCell ref="L38:M38"/>
    <mergeCell ref="N38:Q38"/>
    <mergeCell ref="S38:Y38"/>
    <mergeCell ref="AD32:AJ32"/>
    <mergeCell ref="B33:D33"/>
    <mergeCell ref="E33:J33"/>
    <mergeCell ref="B36:D36"/>
    <mergeCell ref="E36:J36"/>
    <mergeCell ref="K36:K38"/>
    <mergeCell ref="L36:M36"/>
    <mergeCell ref="N36:Q36"/>
    <mergeCell ref="B37:D37"/>
    <mergeCell ref="E37:J37"/>
    <mergeCell ref="K33:M33"/>
    <mergeCell ref="N33:Q33"/>
    <mergeCell ref="B31:D31"/>
    <mergeCell ref="E31:J31"/>
    <mergeCell ref="K31:M31"/>
    <mergeCell ref="N31:Q31"/>
    <mergeCell ref="B22:D22"/>
    <mergeCell ref="E22:J22"/>
    <mergeCell ref="K22:M22"/>
    <mergeCell ref="N22:Q22"/>
    <mergeCell ref="B25:D25"/>
    <mergeCell ref="E25:J25"/>
    <mergeCell ref="K25:M25"/>
    <mergeCell ref="N25:Q25"/>
    <mergeCell ref="K30:M30"/>
    <mergeCell ref="N30:Q30"/>
    <mergeCell ref="P1:Q1"/>
    <mergeCell ref="B15:J16"/>
    <mergeCell ref="K15:Q16"/>
    <mergeCell ref="B18:D18"/>
    <mergeCell ref="B21:D21"/>
    <mergeCell ref="E21:J21"/>
    <mergeCell ref="K21:M21"/>
    <mergeCell ref="N21:Q21"/>
    <mergeCell ref="B26:D26"/>
    <mergeCell ref="E26:J26"/>
    <mergeCell ref="K26:M26"/>
    <mergeCell ref="N26:Q26"/>
  </mergeCells>
  <phoneticPr fontId="4"/>
  <conditionalFormatting sqref="E21:E22">
    <cfRule type="cellIs" dxfId="18" priority="4" operator="equal">
      <formula>"　"</formula>
    </cfRule>
  </conditionalFormatting>
  <conditionalFormatting sqref="E49 G49 I49 L49 N49">
    <cfRule type="cellIs" dxfId="17" priority="11" operator="equal">
      <formula>""</formula>
    </cfRule>
  </conditionalFormatting>
  <conditionalFormatting sqref="E55 G55 I55 L55 N55">
    <cfRule type="cellIs" dxfId="16" priority="10" operator="equal">
      <formula>""</formula>
    </cfRule>
  </conditionalFormatting>
  <conditionalFormatting sqref="E50:G50 E51:Q52 E57:G57 J57:L57 E58:Q61 N25:Q25 E25:J26 E31:J31 E33:J33 E36:J37 N36:Q38">
    <cfRule type="cellIs" dxfId="15" priority="27" operator="equal">
      <formula>""</formula>
    </cfRule>
  </conditionalFormatting>
  <conditionalFormatting sqref="E50:G50 E51:Q52 E57:G57 J57:L57 E58:Q61">
    <cfRule type="expression" dxfId="14" priority="20">
      <formula>AND($E$21="辞退",$E$22="辞退",$N$21="辞退",$N$22="辞退")</formula>
    </cfRule>
  </conditionalFormatting>
  <conditionalFormatting sqref="E43:J44">
    <cfRule type="cellIs" dxfId="13" priority="17" operator="equal">
      <formula>""</formula>
    </cfRule>
  </conditionalFormatting>
  <conditionalFormatting sqref="E46:J46">
    <cfRule type="cellIs" dxfId="12" priority="12" operator="equal">
      <formula>""</formula>
    </cfRule>
  </conditionalFormatting>
  <conditionalFormatting sqref="E63:J64">
    <cfRule type="cellIs" dxfId="11" priority="9" operator="equal">
      <formula>""</formula>
    </cfRule>
  </conditionalFormatting>
  <conditionalFormatting sqref="E45:Q45">
    <cfRule type="cellIs" dxfId="10" priority="13" operator="equal">
      <formula>$N$40="有"</formula>
    </cfRule>
    <cfRule type="cellIs" dxfId="9" priority="14" operator="equal">
      <formula>""</formula>
    </cfRule>
  </conditionalFormatting>
  <conditionalFormatting sqref="E53:Q54">
    <cfRule type="cellIs" dxfId="8" priority="6" operator="equal">
      <formula>""</formula>
    </cfRule>
  </conditionalFormatting>
  <conditionalFormatting sqref="J50:L50">
    <cfRule type="cellIs" dxfId="7" priority="7" operator="equal">
      <formula>""</formula>
    </cfRule>
  </conditionalFormatting>
  <conditionalFormatting sqref="N21:N22">
    <cfRule type="cellIs" dxfId="6" priority="2" operator="equal">
      <formula>"　"</formula>
    </cfRule>
  </conditionalFormatting>
  <conditionalFormatting sqref="N31">
    <cfRule type="cellIs" dxfId="5" priority="19" operator="equal">
      <formula>""</formula>
    </cfRule>
  </conditionalFormatting>
  <conditionalFormatting sqref="N41:Q41">
    <cfRule type="cellIs" dxfId="4" priority="18" operator="equal">
      <formula>"　　"</formula>
    </cfRule>
  </conditionalFormatting>
  <conditionalFormatting sqref="N43:Q44">
    <cfRule type="cellIs" dxfId="3" priority="15" operator="equal">
      <formula>$N$40="有"</formula>
    </cfRule>
    <cfRule type="cellIs" dxfId="2" priority="16" operator="equal">
      <formula>""</formula>
    </cfRule>
  </conditionalFormatting>
  <conditionalFormatting sqref="N63:Q64">
    <cfRule type="cellIs" dxfId="1" priority="8" operator="equal">
      <formula>""</formula>
    </cfRule>
  </conditionalFormatting>
  <conditionalFormatting sqref="O67:Q67">
    <cfRule type="cellIs" dxfId="0" priority="23" operator="equal">
      <formula>"　"</formula>
    </cfRule>
  </conditionalFormatting>
  <dataValidations count="15">
    <dataValidation type="list" allowBlank="1" showInputMessage="1" showErrorMessage="1" sqref="O67:Q67" xr:uid="{4C9820DD-36EE-4A18-BD14-DD6EFC81F0B5}">
      <formula1>"　,可,辞退"</formula1>
    </dataValidation>
    <dataValidation type="list" allowBlank="1" showInputMessage="1" showErrorMessage="1" sqref="N38:Q38" xr:uid="{E3012EDE-4890-4ECA-99C1-93C4268EB1C8}">
      <formula1>"　,配偶者,実父,実母,実子,実女,義父,義母,祖父,祖母,実兄,実弟,実姉,実妹,子女(死産),本人"</formula1>
    </dataValidation>
    <dataValidation type="list" allowBlank="1" showInputMessage="1" showErrorMessage="1" sqref="N49 N55" xr:uid="{E58FD60B-3342-4D9D-9708-CADFC0B26D1E}">
      <formula1>"　,00,15,30,45"</formula1>
    </dataValidation>
    <dataValidation type="list" allowBlank="1" showInputMessage="1" showErrorMessage="1" sqref="L49 L55" xr:uid="{FF782845-B4FE-4762-BA7C-CF83D4BD44C6}">
      <formula1>"　,9,10,11,12,13,14,15,16,17,18,19,20,21,22,23"</formula1>
    </dataValidation>
    <dataValidation type="list" showInputMessage="1" showErrorMessage="1" sqref="N41" xr:uid="{C504348D-E1E4-4AB7-B1E7-0473BC5DDDFF}">
      <formula1>"　　,有,無"</formula1>
    </dataValidation>
    <dataValidation type="list" showInputMessage="1" showErrorMessage="1" sqref="N36" xr:uid="{08EAEA82-3D3A-4A09-AA36-A52107D62A4B}">
      <formula1>"  　　,血族,姻族"</formula1>
    </dataValidation>
    <dataValidation type="list" showInputMessage="1" showErrorMessage="1" sqref="N37" xr:uid="{C162D326-5E54-43A3-8531-DEB78E11D525}">
      <formula1>"　　,同居,別居"</formula1>
    </dataValidation>
    <dataValidation type="list" allowBlank="1" showInputMessage="1" showErrorMessage="1" sqref="I49 I38 I55" xr:uid="{8D0F99EE-00CA-455F-AE37-BF8E5C572C68}">
      <formula1>"　,(月）,(火),(水),(木),(金),(土),(日)"</formula1>
    </dataValidation>
    <dataValidation type="list" showInputMessage="1" showErrorMessage="1" sqref="E31" xr:uid="{773F684C-9D45-4209-B8DC-C7663C7575AF}">
      <formula1>"　 ,一般社員,主務職,基幹職,経営職,NSPフル,NSPパート,非常勤嘱託,常勤嘱託,パートタイマー"</formula1>
    </dataValidation>
    <dataValidation type="list" showInputMessage="1" showErrorMessage="1" sqref="E33" xr:uid="{2DCDFAB4-CCB2-4045-B1CD-30FF8ECEFDB7}">
      <formula1>"　,組合,非組"</formula1>
    </dataValidation>
    <dataValidation type="list" showInputMessage="1" showErrorMessage="1" sqref="G49 I18 G38 G55" xr:uid="{7B26B8A3-C0C3-41B6-9060-3EF27B70F39F}">
      <formula1>"　,1,2,3,4,5,6,7,8,9,10,11,12,13,14,15,16,17,18,19,20,21,22,23,24,25,26,27,28,29,30,31"</formula1>
    </dataValidation>
    <dataValidation type="list" allowBlank="1" showInputMessage="1" showErrorMessage="1" sqref="E49 G18 E38 E55" xr:uid="{A6F229D9-E2C7-4F5A-9EF7-3FEDCC93B043}">
      <formula1>"　,1,2,3,4,5,6,7,8,9,10,11,12"</formula1>
    </dataValidation>
    <dataValidation type="list" allowBlank="1" showInputMessage="1" showErrorMessage="1" sqref="E18" xr:uid="{9DACD6AD-4375-4EBD-8072-65FE049AA70C}">
      <formula1>"2023,2024,2025"</formula1>
    </dataValidation>
    <dataValidation type="list" allowBlank="1" showInputMessage="1" showErrorMessage="1" sqref="E21:J22 N21:Q21" xr:uid="{9F410038-34B4-4E22-B94A-77830F79A821}">
      <formula1>"　,会社/組合/個人(職場)から全て可,会社/組合のみ可,会社/組合/個人(職場)から全て辞退"</formula1>
    </dataValidation>
    <dataValidation type="list" allowBlank="1" showInputMessage="1" showErrorMessage="1" sqref="N22:Q22" xr:uid="{E776DDC9-25A6-46CF-9AC1-04E50422DC37}">
      <formula1>"　,可,個人(職場)からのものは辞退"</formula1>
    </dataValidation>
  </dataValidations>
  <hyperlinks>
    <hyperlink ref="H3" r:id="rId1" xr:uid="{9FAA4679-D9E6-42B1-A8AC-9AF03875315D}"/>
  </hyperlinks>
  <pageMargins left="1.0236220472440944" right="0.70866141732283472" top="0.39370078740157483" bottom="0.19685039370078741" header="0" footer="0"/>
  <pageSetup paperSize="9" scale="57" orientation="portrait" horizontalDpi="90" verticalDpi="9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5" name="Check Box 1">
              <controlPr defaultSize="0" autoFill="0" autoLine="0" autoPict="0">
                <anchor moveWithCells="1">
                  <from>
                    <xdr:col>14</xdr:col>
                    <xdr:colOff>184150</xdr:colOff>
                    <xdr:row>54</xdr:row>
                    <xdr:rowOff>381000</xdr:rowOff>
                  </from>
                  <to>
                    <xdr:col>16</xdr:col>
                    <xdr:colOff>482600</xdr:colOff>
                    <xdr:row>56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9B2C-1083-4103-B500-C6660B08778C}">
  <sheetPr>
    <pageSetUpPr fitToPage="1"/>
  </sheetPr>
  <dimension ref="B1:T38"/>
  <sheetViews>
    <sheetView zoomScaleNormal="100" workbookViewId="0">
      <selection activeCell="H40" sqref="H40"/>
    </sheetView>
  </sheetViews>
  <sheetFormatPr defaultColWidth="8.90625" defaultRowHeight="15" x14ac:dyDescent="0.2"/>
  <cols>
    <col min="1" max="1" width="4.6328125" style="30" customWidth="1"/>
    <col min="2" max="2" width="13.1796875" style="30" customWidth="1"/>
    <col min="3" max="3" width="7.90625" style="30" customWidth="1"/>
    <col min="4" max="5" width="9.08984375" style="30" customWidth="1"/>
    <col min="6" max="6" width="11.36328125" style="30" customWidth="1"/>
    <col min="7" max="7" width="10.1796875" style="30" customWidth="1"/>
    <col min="8" max="9" width="11.90625" style="30" customWidth="1"/>
    <col min="10" max="10" width="6.1796875" style="30" customWidth="1"/>
    <col min="11" max="11" width="4.453125" style="30" customWidth="1"/>
    <col min="12" max="12" width="12.36328125" style="30" customWidth="1"/>
    <col min="13" max="13" width="5.453125" style="30" customWidth="1"/>
    <col min="14" max="14" width="11.90625" style="30" customWidth="1"/>
    <col min="15" max="15" width="2.36328125" style="30" customWidth="1"/>
    <col min="16" max="16" width="10.1796875" style="30" customWidth="1"/>
    <col min="17" max="17" width="13.08984375" style="30" customWidth="1"/>
    <col min="18" max="18" width="11" style="30" customWidth="1"/>
    <col min="19" max="19" width="7.453125" style="30" customWidth="1"/>
    <col min="20" max="16384" width="8.90625" style="30"/>
  </cols>
  <sheetData>
    <row r="1" spans="2:20" ht="8" customHeight="1" x14ac:dyDescent="0.2"/>
    <row r="2" spans="2:20" ht="16" x14ac:dyDescent="0.2">
      <c r="B2" s="31" t="s">
        <v>103</v>
      </c>
    </row>
    <row r="3" spans="2:20" ht="15.5" thickBot="1" x14ac:dyDescent="0.25">
      <c r="B3" s="32" t="s">
        <v>104</v>
      </c>
      <c r="L3" s="32" t="s">
        <v>105</v>
      </c>
    </row>
    <row r="4" spans="2:20" ht="33" customHeight="1" thickBot="1" x14ac:dyDescent="0.25">
      <c r="B4" s="41" t="s">
        <v>30</v>
      </c>
      <c r="C4" s="189" t="s">
        <v>106</v>
      </c>
      <c r="D4" s="189"/>
      <c r="E4" s="190"/>
      <c r="F4" s="45" t="s">
        <v>107</v>
      </c>
      <c r="G4" s="50" t="s">
        <v>108</v>
      </c>
      <c r="H4" s="42" t="s">
        <v>109</v>
      </c>
      <c r="I4" s="212" t="s">
        <v>110</v>
      </c>
      <c r="J4" s="213"/>
      <c r="L4" s="41" t="s">
        <v>30</v>
      </c>
      <c r="M4" s="206" t="s">
        <v>106</v>
      </c>
      <c r="N4" s="207"/>
      <c r="O4" s="208"/>
      <c r="P4" s="45" t="s">
        <v>107</v>
      </c>
      <c r="Q4" s="42" t="s">
        <v>111</v>
      </c>
      <c r="R4" s="42" t="s">
        <v>109</v>
      </c>
      <c r="S4" s="42" t="s">
        <v>112</v>
      </c>
      <c r="T4" s="43" t="s">
        <v>113</v>
      </c>
    </row>
    <row r="5" spans="2:20" ht="15" customHeight="1" x14ac:dyDescent="0.2">
      <c r="B5" s="203" t="s">
        <v>114</v>
      </c>
      <c r="C5" s="182" t="s">
        <v>115</v>
      </c>
      <c r="D5" s="182"/>
      <c r="E5" s="183"/>
      <c r="F5" s="46" t="s">
        <v>116</v>
      </c>
      <c r="G5" s="36" t="s">
        <v>116</v>
      </c>
      <c r="H5" s="36" t="s">
        <v>116</v>
      </c>
      <c r="I5" s="194" t="s">
        <v>117</v>
      </c>
      <c r="J5" s="196"/>
      <c r="L5" s="203" t="s">
        <v>114</v>
      </c>
      <c r="M5" s="194" t="s">
        <v>115</v>
      </c>
      <c r="N5" s="195"/>
      <c r="O5" s="196"/>
      <c r="P5" s="46" t="s">
        <v>116</v>
      </c>
      <c r="Q5" s="36" t="s">
        <v>116</v>
      </c>
      <c r="R5" s="36" t="s">
        <v>116</v>
      </c>
      <c r="S5" s="36" t="s">
        <v>117</v>
      </c>
      <c r="T5" s="37" t="s">
        <v>117</v>
      </c>
    </row>
    <row r="6" spans="2:20" ht="15" customHeight="1" x14ac:dyDescent="0.2">
      <c r="B6" s="204"/>
      <c r="C6" s="184" t="s">
        <v>118</v>
      </c>
      <c r="D6" s="184"/>
      <c r="E6" s="185"/>
      <c r="F6" s="47" t="s">
        <v>116</v>
      </c>
      <c r="G6" s="34" t="s">
        <v>116</v>
      </c>
      <c r="H6" s="34" t="s">
        <v>116</v>
      </c>
      <c r="I6" s="197" t="s">
        <v>117</v>
      </c>
      <c r="J6" s="199"/>
      <c r="L6" s="204"/>
      <c r="M6" s="197" t="s">
        <v>118</v>
      </c>
      <c r="N6" s="198"/>
      <c r="O6" s="199"/>
      <c r="P6" s="47" t="s">
        <v>116</v>
      </c>
      <c r="Q6" s="34" t="s">
        <v>116</v>
      </c>
      <c r="R6" s="34" t="s">
        <v>116</v>
      </c>
      <c r="S6" s="34" t="s">
        <v>117</v>
      </c>
      <c r="T6" s="38" t="s">
        <v>117</v>
      </c>
    </row>
    <row r="7" spans="2:20" ht="15" customHeight="1" x14ac:dyDescent="0.2">
      <c r="B7" s="204"/>
      <c r="C7" s="184" t="s">
        <v>119</v>
      </c>
      <c r="D7" s="184"/>
      <c r="E7" s="185"/>
      <c r="F7" s="47" t="s">
        <v>116</v>
      </c>
      <c r="G7" s="34" t="s">
        <v>116</v>
      </c>
      <c r="H7" s="34" t="s">
        <v>117</v>
      </c>
      <c r="I7" s="197" t="s">
        <v>117</v>
      </c>
      <c r="J7" s="199"/>
      <c r="L7" s="204"/>
      <c r="M7" s="197" t="s">
        <v>119</v>
      </c>
      <c r="N7" s="198"/>
      <c r="O7" s="199"/>
      <c r="P7" s="47" t="s">
        <v>120</v>
      </c>
      <c r="Q7" s="34" t="s">
        <v>116</v>
      </c>
      <c r="R7" s="34" t="s">
        <v>117</v>
      </c>
      <c r="S7" s="34" t="s">
        <v>117</v>
      </c>
      <c r="T7" s="38" t="s">
        <v>117</v>
      </c>
    </row>
    <row r="8" spans="2:20" ht="15" customHeight="1" thickBot="1" x14ac:dyDescent="0.25">
      <c r="B8" s="205"/>
      <c r="C8" s="180" t="s">
        <v>121</v>
      </c>
      <c r="D8" s="180"/>
      <c r="E8" s="181"/>
      <c r="F8" s="48" t="s">
        <v>122</v>
      </c>
      <c r="G8" s="39" t="s">
        <v>122</v>
      </c>
      <c r="H8" s="39" t="s">
        <v>117</v>
      </c>
      <c r="I8" s="200" t="s">
        <v>117</v>
      </c>
      <c r="J8" s="202"/>
      <c r="L8" s="205"/>
      <c r="M8" s="200" t="s">
        <v>121</v>
      </c>
      <c r="N8" s="201"/>
      <c r="O8" s="202"/>
      <c r="P8" s="48" t="s">
        <v>117</v>
      </c>
      <c r="Q8" s="39" t="s">
        <v>122</v>
      </c>
      <c r="R8" s="39" t="s">
        <v>117</v>
      </c>
      <c r="S8" s="39" t="s">
        <v>122</v>
      </c>
      <c r="T8" s="40" t="s">
        <v>117</v>
      </c>
    </row>
    <row r="9" spans="2:20" ht="15" customHeight="1" x14ac:dyDescent="0.2">
      <c r="B9" s="203" t="s">
        <v>123</v>
      </c>
      <c r="C9" s="182" t="s">
        <v>115</v>
      </c>
      <c r="D9" s="182"/>
      <c r="E9" s="183"/>
      <c r="F9" s="46" t="s">
        <v>116</v>
      </c>
      <c r="G9" s="36" t="s">
        <v>116</v>
      </c>
      <c r="H9" s="36" t="s">
        <v>117</v>
      </c>
      <c r="I9" s="194" t="s">
        <v>116</v>
      </c>
      <c r="J9" s="196"/>
      <c r="L9" s="203" t="s">
        <v>123</v>
      </c>
      <c r="M9" s="194" t="s">
        <v>115</v>
      </c>
      <c r="N9" s="195"/>
      <c r="O9" s="196"/>
      <c r="P9" s="46" t="s">
        <v>116</v>
      </c>
      <c r="Q9" s="36" t="s">
        <v>116</v>
      </c>
      <c r="R9" s="36" t="s">
        <v>117</v>
      </c>
      <c r="S9" s="36" t="s">
        <v>124</v>
      </c>
      <c r="T9" s="37" t="s">
        <v>124</v>
      </c>
    </row>
    <row r="10" spans="2:20" ht="15" customHeight="1" x14ac:dyDescent="0.2">
      <c r="B10" s="204"/>
      <c r="C10" s="184" t="s">
        <v>118</v>
      </c>
      <c r="D10" s="184"/>
      <c r="E10" s="185"/>
      <c r="F10" s="47" t="s">
        <v>116</v>
      </c>
      <c r="G10" s="34" t="s">
        <v>116</v>
      </c>
      <c r="H10" s="34" t="s">
        <v>117</v>
      </c>
      <c r="I10" s="197" t="s">
        <v>116</v>
      </c>
      <c r="J10" s="199"/>
      <c r="L10" s="204"/>
      <c r="M10" s="197" t="s">
        <v>118</v>
      </c>
      <c r="N10" s="198"/>
      <c r="O10" s="199"/>
      <c r="P10" s="47" t="s">
        <v>116</v>
      </c>
      <c r="Q10" s="34" t="s">
        <v>116</v>
      </c>
      <c r="R10" s="34" t="s">
        <v>117</v>
      </c>
      <c r="S10" s="34" t="s">
        <v>124</v>
      </c>
      <c r="T10" s="38" t="s">
        <v>124</v>
      </c>
    </row>
    <row r="11" spans="2:20" ht="15" customHeight="1" x14ac:dyDescent="0.2">
      <c r="B11" s="204"/>
      <c r="C11" s="184" t="s">
        <v>119</v>
      </c>
      <c r="D11" s="184"/>
      <c r="E11" s="185"/>
      <c r="F11" s="47" t="s">
        <v>116</v>
      </c>
      <c r="G11" s="34" t="s">
        <v>116</v>
      </c>
      <c r="H11" s="34" t="s">
        <v>117</v>
      </c>
      <c r="I11" s="197" t="s">
        <v>117</v>
      </c>
      <c r="J11" s="199"/>
      <c r="L11" s="204"/>
      <c r="M11" s="197" t="s">
        <v>119</v>
      </c>
      <c r="N11" s="198"/>
      <c r="O11" s="199"/>
      <c r="P11" s="47" t="s">
        <v>120</v>
      </c>
      <c r="Q11" s="34" t="s">
        <v>120</v>
      </c>
      <c r="R11" s="34" t="s">
        <v>117</v>
      </c>
      <c r="S11" s="34" t="s">
        <v>117</v>
      </c>
      <c r="T11" s="38" t="s">
        <v>117</v>
      </c>
    </row>
    <row r="12" spans="2:20" ht="15" customHeight="1" thickBot="1" x14ac:dyDescent="0.25">
      <c r="B12" s="205"/>
      <c r="C12" s="180" t="s">
        <v>121</v>
      </c>
      <c r="D12" s="180"/>
      <c r="E12" s="181"/>
      <c r="F12" s="48" t="s">
        <v>122</v>
      </c>
      <c r="G12" s="39" t="s">
        <v>122</v>
      </c>
      <c r="H12" s="39" t="s">
        <v>117</v>
      </c>
      <c r="I12" s="200" t="s">
        <v>117</v>
      </c>
      <c r="J12" s="202"/>
      <c r="L12" s="205"/>
      <c r="M12" s="200" t="s">
        <v>121</v>
      </c>
      <c r="N12" s="201"/>
      <c r="O12" s="202"/>
      <c r="P12" s="48" t="s">
        <v>117</v>
      </c>
      <c r="Q12" s="39" t="s">
        <v>117</v>
      </c>
      <c r="R12" s="39" t="s">
        <v>117</v>
      </c>
      <c r="S12" s="39" t="s">
        <v>122</v>
      </c>
      <c r="T12" s="40" t="s">
        <v>117</v>
      </c>
    </row>
    <row r="13" spans="2:20" ht="15" customHeight="1" x14ac:dyDescent="0.2">
      <c r="B13" s="186" t="s">
        <v>125</v>
      </c>
      <c r="C13" s="182" t="s">
        <v>115</v>
      </c>
      <c r="D13" s="182"/>
      <c r="E13" s="183"/>
      <c r="F13" s="46" t="s">
        <v>116</v>
      </c>
      <c r="G13" s="36" t="s">
        <v>116</v>
      </c>
      <c r="H13" s="36" t="s">
        <v>117</v>
      </c>
      <c r="I13" s="194" t="s">
        <v>116</v>
      </c>
      <c r="J13" s="196"/>
      <c r="L13" s="191" t="s">
        <v>125</v>
      </c>
      <c r="M13" s="194" t="s">
        <v>115</v>
      </c>
      <c r="N13" s="195"/>
      <c r="O13" s="196"/>
      <c r="P13" s="46" t="s">
        <v>116</v>
      </c>
      <c r="Q13" s="36" t="s">
        <v>116</v>
      </c>
      <c r="R13" s="36" t="s">
        <v>117</v>
      </c>
      <c r="S13" s="36" t="s">
        <v>117</v>
      </c>
      <c r="T13" s="37" t="s">
        <v>117</v>
      </c>
    </row>
    <row r="14" spans="2:20" ht="15" customHeight="1" x14ac:dyDescent="0.2">
      <c r="B14" s="187"/>
      <c r="C14" s="184" t="s">
        <v>118</v>
      </c>
      <c r="D14" s="184"/>
      <c r="E14" s="185"/>
      <c r="F14" s="47" t="s">
        <v>116</v>
      </c>
      <c r="G14" s="34" t="s">
        <v>116</v>
      </c>
      <c r="H14" s="34" t="s">
        <v>117</v>
      </c>
      <c r="I14" s="197" t="s">
        <v>116</v>
      </c>
      <c r="J14" s="199"/>
      <c r="L14" s="192"/>
      <c r="M14" s="197" t="s">
        <v>118</v>
      </c>
      <c r="N14" s="198"/>
      <c r="O14" s="199"/>
      <c r="P14" s="47" t="s">
        <v>116</v>
      </c>
      <c r="Q14" s="34" t="s">
        <v>116</v>
      </c>
      <c r="R14" s="34" t="s">
        <v>117</v>
      </c>
      <c r="S14" s="34" t="s">
        <v>117</v>
      </c>
      <c r="T14" s="38" t="s">
        <v>117</v>
      </c>
    </row>
    <row r="15" spans="2:20" ht="15" customHeight="1" x14ac:dyDescent="0.2">
      <c r="B15" s="187"/>
      <c r="C15" s="184" t="s">
        <v>119</v>
      </c>
      <c r="D15" s="184"/>
      <c r="E15" s="185"/>
      <c r="F15" s="47" t="s">
        <v>116</v>
      </c>
      <c r="G15" s="34" t="s">
        <v>116</v>
      </c>
      <c r="H15" s="34" t="s">
        <v>117</v>
      </c>
      <c r="I15" s="197" t="s">
        <v>117</v>
      </c>
      <c r="J15" s="199"/>
      <c r="L15" s="192"/>
      <c r="M15" s="197" t="s">
        <v>119</v>
      </c>
      <c r="N15" s="198"/>
      <c r="O15" s="199"/>
      <c r="P15" s="47" t="s">
        <v>120</v>
      </c>
      <c r="Q15" s="34" t="s">
        <v>120</v>
      </c>
      <c r="R15" s="34" t="s">
        <v>117</v>
      </c>
      <c r="S15" s="34" t="s">
        <v>124</v>
      </c>
      <c r="T15" s="38" t="s">
        <v>124</v>
      </c>
    </row>
    <row r="16" spans="2:20" ht="15" customHeight="1" thickBot="1" x14ac:dyDescent="0.25">
      <c r="B16" s="188"/>
      <c r="C16" s="180" t="s">
        <v>121</v>
      </c>
      <c r="D16" s="180"/>
      <c r="E16" s="181"/>
      <c r="F16" s="48" t="s">
        <v>122</v>
      </c>
      <c r="G16" s="39" t="s">
        <v>122</v>
      </c>
      <c r="H16" s="39" t="s">
        <v>117</v>
      </c>
      <c r="I16" s="200" t="s">
        <v>117</v>
      </c>
      <c r="J16" s="202"/>
      <c r="L16" s="193"/>
      <c r="M16" s="200" t="s">
        <v>121</v>
      </c>
      <c r="N16" s="201"/>
      <c r="O16" s="202"/>
      <c r="P16" s="48" t="s">
        <v>117</v>
      </c>
      <c r="Q16" s="39" t="s">
        <v>117</v>
      </c>
      <c r="R16" s="39" t="s">
        <v>117</v>
      </c>
      <c r="S16" s="39" t="s">
        <v>122</v>
      </c>
      <c r="T16" s="40" t="s">
        <v>117</v>
      </c>
    </row>
    <row r="17" spans="2:20" x14ac:dyDescent="0.2">
      <c r="B17" s="191" t="s">
        <v>126</v>
      </c>
      <c r="C17" s="194" t="s">
        <v>115</v>
      </c>
      <c r="D17" s="195"/>
      <c r="E17" s="196"/>
      <c r="F17" s="218" t="s">
        <v>127</v>
      </c>
      <c r="G17" s="219"/>
      <c r="H17" s="219"/>
      <c r="I17" s="219"/>
      <c r="J17" s="220"/>
      <c r="L17" s="191" t="s">
        <v>126</v>
      </c>
      <c r="M17" s="194" t="s">
        <v>115</v>
      </c>
      <c r="N17" s="195"/>
      <c r="O17" s="196"/>
      <c r="P17" s="49" t="s">
        <v>117</v>
      </c>
      <c r="Q17" s="35" t="s">
        <v>117</v>
      </c>
      <c r="R17" s="35" t="s">
        <v>117</v>
      </c>
      <c r="S17" s="35" t="s">
        <v>117</v>
      </c>
      <c r="T17" s="44" t="s">
        <v>117</v>
      </c>
    </row>
    <row r="18" spans="2:20" x14ac:dyDescent="0.2">
      <c r="B18" s="192"/>
      <c r="C18" s="197" t="s">
        <v>118</v>
      </c>
      <c r="D18" s="198"/>
      <c r="E18" s="199"/>
      <c r="F18" s="221"/>
      <c r="G18" s="222"/>
      <c r="H18" s="222"/>
      <c r="I18" s="222"/>
      <c r="J18" s="223"/>
      <c r="L18" s="192"/>
      <c r="M18" s="197" t="s">
        <v>118</v>
      </c>
      <c r="N18" s="198"/>
      <c r="O18" s="199"/>
      <c r="P18" s="47" t="s">
        <v>117</v>
      </c>
      <c r="Q18" s="34" t="s">
        <v>117</v>
      </c>
      <c r="R18" s="34" t="s">
        <v>117</v>
      </c>
      <c r="S18" s="34" t="s">
        <v>117</v>
      </c>
      <c r="T18" s="38" t="s">
        <v>116</v>
      </c>
    </row>
    <row r="19" spans="2:20" x14ac:dyDescent="0.2">
      <c r="B19" s="192"/>
      <c r="C19" s="197" t="s">
        <v>119</v>
      </c>
      <c r="D19" s="198"/>
      <c r="E19" s="199"/>
      <c r="F19" s="221"/>
      <c r="G19" s="222"/>
      <c r="H19" s="222"/>
      <c r="I19" s="222"/>
      <c r="J19" s="223"/>
      <c r="L19" s="192"/>
      <c r="M19" s="197" t="s">
        <v>119</v>
      </c>
      <c r="N19" s="198"/>
      <c r="O19" s="199"/>
      <c r="P19" s="47" t="s">
        <v>117</v>
      </c>
      <c r="Q19" s="34" t="s">
        <v>117</v>
      </c>
      <c r="R19" s="34" t="s">
        <v>117</v>
      </c>
      <c r="S19" s="34" t="s">
        <v>117</v>
      </c>
      <c r="T19" s="38" t="s">
        <v>117</v>
      </c>
    </row>
    <row r="20" spans="2:20" ht="15.5" thickBot="1" x14ac:dyDescent="0.25">
      <c r="B20" s="193"/>
      <c r="C20" s="200" t="s">
        <v>121</v>
      </c>
      <c r="D20" s="201"/>
      <c r="E20" s="202"/>
      <c r="F20" s="224"/>
      <c r="G20" s="225"/>
      <c r="H20" s="225"/>
      <c r="I20" s="225"/>
      <c r="J20" s="226"/>
      <c r="L20" s="193"/>
      <c r="M20" s="200" t="s">
        <v>121</v>
      </c>
      <c r="N20" s="201"/>
      <c r="O20" s="202"/>
      <c r="P20" s="48" t="s">
        <v>117</v>
      </c>
      <c r="Q20" s="39" t="s">
        <v>117</v>
      </c>
      <c r="R20" s="39" t="s">
        <v>117</v>
      </c>
      <c r="S20" s="39" t="s">
        <v>117</v>
      </c>
      <c r="T20" s="40" t="s">
        <v>117</v>
      </c>
    </row>
    <row r="21" spans="2:20" ht="15" customHeight="1" x14ac:dyDescent="0.2">
      <c r="B21" s="30" t="s">
        <v>128</v>
      </c>
      <c r="L21" s="30" t="s">
        <v>128</v>
      </c>
    </row>
    <row r="22" spans="2:20" x14ac:dyDescent="0.2">
      <c r="L22" s="30" t="s">
        <v>129</v>
      </c>
    </row>
    <row r="23" spans="2:20" x14ac:dyDescent="0.2">
      <c r="L23" s="32"/>
    </row>
    <row r="24" spans="2:20" ht="15.5" thickBot="1" x14ac:dyDescent="0.25">
      <c r="B24" s="32" t="s">
        <v>130</v>
      </c>
      <c r="I24" s="30" t="s">
        <v>131</v>
      </c>
      <c r="L24" s="32" t="s">
        <v>132</v>
      </c>
    </row>
    <row r="25" spans="2:20" ht="30.5" thickBot="1" x14ac:dyDescent="0.25">
      <c r="B25" s="57" t="s">
        <v>30</v>
      </c>
      <c r="C25" s="58" t="s">
        <v>115</v>
      </c>
      <c r="D25" s="55" t="s">
        <v>133</v>
      </c>
      <c r="E25" s="55" t="s">
        <v>134</v>
      </c>
      <c r="F25" s="55" t="s">
        <v>135</v>
      </c>
      <c r="G25" s="54" t="s">
        <v>136</v>
      </c>
      <c r="H25" s="54" t="s">
        <v>137</v>
      </c>
      <c r="I25" s="56" t="s">
        <v>138</v>
      </c>
      <c r="J25" s="33"/>
      <c r="L25" s="57" t="s">
        <v>30</v>
      </c>
      <c r="M25" s="228" t="s">
        <v>106</v>
      </c>
      <c r="N25" s="207"/>
      <c r="O25" s="208"/>
      <c r="P25" s="53" t="s">
        <v>139</v>
      </c>
      <c r="Q25" s="55" t="s">
        <v>140</v>
      </c>
      <c r="R25" s="55" t="s">
        <v>141</v>
      </c>
      <c r="S25" s="207" t="s">
        <v>142</v>
      </c>
      <c r="T25" s="208"/>
    </row>
    <row r="26" spans="2:20" ht="15.5" thickBot="1" x14ac:dyDescent="0.25">
      <c r="B26" s="57" t="s">
        <v>114</v>
      </c>
      <c r="C26" s="58">
        <v>70</v>
      </c>
      <c r="D26" s="55">
        <v>50</v>
      </c>
      <c r="E26" s="55">
        <v>30</v>
      </c>
      <c r="F26" s="55">
        <v>15</v>
      </c>
      <c r="G26" s="55">
        <v>10</v>
      </c>
      <c r="H26" s="55">
        <v>10</v>
      </c>
      <c r="I26" s="59">
        <v>3</v>
      </c>
      <c r="L26" s="227" t="s">
        <v>114</v>
      </c>
      <c r="M26" s="229" t="s">
        <v>115</v>
      </c>
      <c r="N26" s="195"/>
      <c r="O26" s="196"/>
      <c r="P26" s="52" t="s">
        <v>143</v>
      </c>
      <c r="Q26" s="36" t="s">
        <v>143</v>
      </c>
      <c r="R26" s="36" t="s">
        <v>143</v>
      </c>
      <c r="S26" s="194" t="s">
        <v>143</v>
      </c>
      <c r="T26" s="196"/>
    </row>
    <row r="27" spans="2:20" ht="15.5" thickBot="1" x14ac:dyDescent="0.25">
      <c r="B27" s="57" t="s">
        <v>123</v>
      </c>
      <c r="C27" s="58">
        <v>50</v>
      </c>
      <c r="D27" s="55">
        <v>30</v>
      </c>
      <c r="E27" s="55">
        <v>20</v>
      </c>
      <c r="F27" s="55">
        <v>10</v>
      </c>
      <c r="G27" s="55">
        <v>5</v>
      </c>
      <c r="H27" s="55">
        <v>5</v>
      </c>
      <c r="I27" s="59">
        <v>3</v>
      </c>
      <c r="L27" s="211"/>
      <c r="M27" s="224" t="s">
        <v>118</v>
      </c>
      <c r="N27" s="225"/>
      <c r="O27" s="226"/>
      <c r="P27" s="51" t="s">
        <v>117</v>
      </c>
      <c r="Q27" s="60" t="s">
        <v>143</v>
      </c>
      <c r="R27" s="60" t="s">
        <v>143</v>
      </c>
      <c r="S27" s="200" t="s">
        <v>143</v>
      </c>
      <c r="T27" s="202"/>
    </row>
    <row r="28" spans="2:20" x14ac:dyDescent="0.2">
      <c r="B28" s="209" t="s">
        <v>144</v>
      </c>
      <c r="C28" s="203">
        <v>20</v>
      </c>
      <c r="D28" s="189">
        <v>10</v>
      </c>
      <c r="E28" s="189">
        <v>5</v>
      </c>
      <c r="F28" s="189">
        <v>5</v>
      </c>
      <c r="G28" s="189">
        <v>2</v>
      </c>
      <c r="H28" s="189">
        <v>2</v>
      </c>
      <c r="I28" s="190">
        <v>2</v>
      </c>
      <c r="L28" s="227" t="s">
        <v>123</v>
      </c>
      <c r="M28" s="229" t="s">
        <v>115</v>
      </c>
      <c r="N28" s="195"/>
      <c r="O28" s="196"/>
      <c r="P28" s="52" t="s">
        <v>143</v>
      </c>
      <c r="Q28" s="36" t="s">
        <v>116</v>
      </c>
      <c r="R28" s="36" t="s">
        <v>116</v>
      </c>
      <c r="S28" s="194" t="s">
        <v>143</v>
      </c>
      <c r="T28" s="196"/>
    </row>
    <row r="29" spans="2:20" ht="15.5" thickBot="1" x14ac:dyDescent="0.25">
      <c r="B29" s="210"/>
      <c r="C29" s="204"/>
      <c r="D29" s="216"/>
      <c r="E29" s="216"/>
      <c r="F29" s="216"/>
      <c r="G29" s="216"/>
      <c r="H29" s="216"/>
      <c r="I29" s="214"/>
      <c r="L29" s="211"/>
      <c r="M29" s="224" t="s">
        <v>118</v>
      </c>
      <c r="N29" s="225"/>
      <c r="O29" s="226"/>
      <c r="P29" s="51" t="s">
        <v>117</v>
      </c>
      <c r="Q29" s="60" t="s">
        <v>116</v>
      </c>
      <c r="R29" s="60" t="s">
        <v>116</v>
      </c>
      <c r="S29" s="200" t="s">
        <v>145</v>
      </c>
      <c r="T29" s="202"/>
    </row>
    <row r="30" spans="2:20" x14ac:dyDescent="0.2">
      <c r="B30" s="210"/>
      <c r="C30" s="204"/>
      <c r="D30" s="216"/>
      <c r="E30" s="216"/>
      <c r="F30" s="216"/>
      <c r="G30" s="216"/>
      <c r="H30" s="216"/>
      <c r="I30" s="214"/>
      <c r="L30" s="209" t="s">
        <v>146</v>
      </c>
      <c r="M30" s="218" t="s">
        <v>147</v>
      </c>
      <c r="N30" s="219"/>
      <c r="O30" s="220"/>
      <c r="P30" s="203" t="s">
        <v>117</v>
      </c>
      <c r="Q30" s="189" t="s">
        <v>143</v>
      </c>
      <c r="R30" s="189" t="s">
        <v>143</v>
      </c>
      <c r="S30" s="233" t="s">
        <v>143</v>
      </c>
      <c r="T30" s="220"/>
    </row>
    <row r="31" spans="2:20" ht="15.5" thickBot="1" x14ac:dyDescent="0.25">
      <c r="B31" s="211"/>
      <c r="C31" s="205"/>
      <c r="D31" s="217"/>
      <c r="E31" s="217"/>
      <c r="F31" s="217"/>
      <c r="G31" s="217"/>
      <c r="H31" s="217"/>
      <c r="I31" s="215"/>
      <c r="L31" s="210"/>
      <c r="M31" s="230"/>
      <c r="N31" s="231"/>
      <c r="O31" s="232"/>
      <c r="P31" s="238"/>
      <c r="Q31" s="239"/>
      <c r="R31" s="239"/>
      <c r="S31" s="234"/>
      <c r="T31" s="232"/>
    </row>
    <row r="32" spans="2:20" x14ac:dyDescent="0.2">
      <c r="B32" s="209" t="s">
        <v>148</v>
      </c>
      <c r="C32" s="203">
        <v>10</v>
      </c>
      <c r="D32" s="189">
        <v>3</v>
      </c>
      <c r="E32" s="189">
        <v>1.5</v>
      </c>
      <c r="F32" s="189">
        <v>1.5</v>
      </c>
      <c r="G32" s="189">
        <v>1</v>
      </c>
      <c r="H32" s="189">
        <v>0.5</v>
      </c>
      <c r="I32" s="190" t="s">
        <v>117</v>
      </c>
      <c r="L32" s="210"/>
      <c r="M32" s="221" t="s">
        <v>149</v>
      </c>
      <c r="N32" s="222"/>
      <c r="O32" s="223"/>
      <c r="P32" s="241" t="s">
        <v>117</v>
      </c>
      <c r="Q32" s="240" t="s">
        <v>143</v>
      </c>
      <c r="R32" s="240" t="s">
        <v>143</v>
      </c>
      <c r="S32" s="235" t="s">
        <v>145</v>
      </c>
      <c r="T32" s="236"/>
    </row>
    <row r="33" spans="2:20" ht="15.5" thickBot="1" x14ac:dyDescent="0.25">
      <c r="B33" s="210"/>
      <c r="C33" s="204"/>
      <c r="D33" s="216"/>
      <c r="E33" s="216"/>
      <c r="F33" s="216"/>
      <c r="G33" s="216"/>
      <c r="H33" s="216"/>
      <c r="I33" s="214"/>
      <c r="L33" s="211"/>
      <c r="M33" s="224"/>
      <c r="N33" s="225"/>
      <c r="O33" s="226"/>
      <c r="P33" s="205"/>
      <c r="Q33" s="217"/>
      <c r="R33" s="217"/>
      <c r="S33" s="237"/>
      <c r="T33" s="226"/>
    </row>
    <row r="34" spans="2:20" x14ac:dyDescent="0.2">
      <c r="B34" s="210"/>
      <c r="C34" s="204"/>
      <c r="D34" s="216"/>
      <c r="E34" s="216"/>
      <c r="F34" s="216"/>
      <c r="G34" s="216"/>
      <c r="H34" s="216"/>
      <c r="I34" s="214"/>
      <c r="L34" s="209" t="s">
        <v>150</v>
      </c>
      <c r="M34" s="218" t="s">
        <v>147</v>
      </c>
      <c r="N34" s="219"/>
      <c r="O34" s="220"/>
      <c r="P34" s="218" t="s">
        <v>127</v>
      </c>
      <c r="Q34" s="219"/>
      <c r="R34" s="219"/>
      <c r="S34" s="219"/>
      <c r="T34" s="220"/>
    </row>
    <row r="35" spans="2:20" ht="15.5" thickBot="1" x14ac:dyDescent="0.25">
      <c r="B35" s="211"/>
      <c r="C35" s="205"/>
      <c r="D35" s="217"/>
      <c r="E35" s="217"/>
      <c r="F35" s="217"/>
      <c r="G35" s="217"/>
      <c r="H35" s="217"/>
      <c r="I35" s="215"/>
      <c r="L35" s="210"/>
      <c r="M35" s="230"/>
      <c r="N35" s="231"/>
      <c r="O35" s="232"/>
      <c r="P35" s="221"/>
      <c r="Q35" s="222"/>
      <c r="R35" s="222"/>
      <c r="S35" s="222"/>
      <c r="T35" s="223"/>
    </row>
    <row r="36" spans="2:20" x14ac:dyDescent="0.2">
      <c r="B36" s="30" t="s">
        <v>151</v>
      </c>
      <c r="L36" s="210"/>
      <c r="M36" s="221" t="s">
        <v>149</v>
      </c>
      <c r="N36" s="222"/>
      <c r="O36" s="223"/>
      <c r="P36" s="221"/>
      <c r="Q36" s="222"/>
      <c r="R36" s="222"/>
      <c r="S36" s="222"/>
      <c r="T36" s="223"/>
    </row>
    <row r="37" spans="2:20" ht="15.5" thickBot="1" x14ac:dyDescent="0.25">
      <c r="B37" s="30" t="s">
        <v>152</v>
      </c>
      <c r="L37" s="211"/>
      <c r="M37" s="224"/>
      <c r="N37" s="225"/>
      <c r="O37" s="226"/>
      <c r="P37" s="224"/>
      <c r="Q37" s="225"/>
      <c r="R37" s="225"/>
      <c r="S37" s="225"/>
      <c r="T37" s="226"/>
    </row>
    <row r="38" spans="2:20" x14ac:dyDescent="0.2">
      <c r="B38" s="30" t="s">
        <v>153</v>
      </c>
      <c r="L38" s="30" t="s">
        <v>154</v>
      </c>
    </row>
  </sheetData>
  <mergeCells count="99">
    <mergeCell ref="P34:T37"/>
    <mergeCell ref="P30:P31"/>
    <mergeCell ref="Q30:Q31"/>
    <mergeCell ref="R30:R31"/>
    <mergeCell ref="R32:R33"/>
    <mergeCell ref="Q32:Q33"/>
    <mergeCell ref="P32:P33"/>
    <mergeCell ref="S27:T27"/>
    <mergeCell ref="S28:T28"/>
    <mergeCell ref="S29:T29"/>
    <mergeCell ref="S30:T31"/>
    <mergeCell ref="S32:T33"/>
    <mergeCell ref="H32:H35"/>
    <mergeCell ref="L26:L27"/>
    <mergeCell ref="M25:O25"/>
    <mergeCell ref="M26:O26"/>
    <mergeCell ref="S25:T25"/>
    <mergeCell ref="L28:L29"/>
    <mergeCell ref="M28:O28"/>
    <mergeCell ref="M27:O27"/>
    <mergeCell ref="M29:O29"/>
    <mergeCell ref="S26:T26"/>
    <mergeCell ref="L30:L33"/>
    <mergeCell ref="L34:L37"/>
    <mergeCell ref="M30:O31"/>
    <mergeCell ref="M32:O33"/>
    <mergeCell ref="M34:O35"/>
    <mergeCell ref="M36:O37"/>
    <mergeCell ref="I32:I35"/>
    <mergeCell ref="I15:J15"/>
    <mergeCell ref="I16:J16"/>
    <mergeCell ref="C28:C31"/>
    <mergeCell ref="C32:C35"/>
    <mergeCell ref="D28:D31"/>
    <mergeCell ref="E28:E31"/>
    <mergeCell ref="F28:F31"/>
    <mergeCell ref="G28:G31"/>
    <mergeCell ref="H28:H31"/>
    <mergeCell ref="I28:I31"/>
    <mergeCell ref="F17:J20"/>
    <mergeCell ref="D32:D35"/>
    <mergeCell ref="E32:E35"/>
    <mergeCell ref="F32:F35"/>
    <mergeCell ref="G32:G35"/>
    <mergeCell ref="B28:B31"/>
    <mergeCell ref="B32:B35"/>
    <mergeCell ref="I4:J4"/>
    <mergeCell ref="I5:J5"/>
    <mergeCell ref="I6:J6"/>
    <mergeCell ref="I7:J7"/>
    <mergeCell ref="I8:J8"/>
    <mergeCell ref="I9:J9"/>
    <mergeCell ref="I10:J10"/>
    <mergeCell ref="C15:E15"/>
    <mergeCell ref="C16:E16"/>
    <mergeCell ref="B9:B12"/>
    <mergeCell ref="B5:B8"/>
    <mergeCell ref="C9:E9"/>
    <mergeCell ref="C10:E10"/>
    <mergeCell ref="C11:E11"/>
    <mergeCell ref="M4:O4"/>
    <mergeCell ref="B17:B20"/>
    <mergeCell ref="C17:E17"/>
    <mergeCell ref="C18:E18"/>
    <mergeCell ref="C19:E19"/>
    <mergeCell ref="C20:E20"/>
    <mergeCell ref="I11:J11"/>
    <mergeCell ref="I12:J12"/>
    <mergeCell ref="I13:J13"/>
    <mergeCell ref="I14:J14"/>
    <mergeCell ref="L5:L8"/>
    <mergeCell ref="M8:O8"/>
    <mergeCell ref="M7:O7"/>
    <mergeCell ref="M6:O6"/>
    <mergeCell ref="M5:O5"/>
    <mergeCell ref="L13:L16"/>
    <mergeCell ref="M13:O13"/>
    <mergeCell ref="M14:O14"/>
    <mergeCell ref="M15:O15"/>
    <mergeCell ref="M16:O16"/>
    <mergeCell ref="L9:L12"/>
    <mergeCell ref="M9:O9"/>
    <mergeCell ref="M10:O10"/>
    <mergeCell ref="M11:O11"/>
    <mergeCell ref="M12:O12"/>
    <mergeCell ref="L17:L20"/>
    <mergeCell ref="M17:O17"/>
    <mergeCell ref="M18:O18"/>
    <mergeCell ref="M19:O19"/>
    <mergeCell ref="M20:O20"/>
    <mergeCell ref="C12:E12"/>
    <mergeCell ref="C13:E13"/>
    <mergeCell ref="C14:E14"/>
    <mergeCell ref="B13:B16"/>
    <mergeCell ref="C4:E4"/>
    <mergeCell ref="C5:E5"/>
    <mergeCell ref="C6:E6"/>
    <mergeCell ref="C7:E7"/>
    <mergeCell ref="C8:E8"/>
  </mergeCells>
  <phoneticPr fontId="4"/>
  <pageMargins left="0.7" right="0.7" top="0.75" bottom="0.75" header="0.3" footer="0.3"/>
  <pageSetup paperSize="9" scale="7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2FAB-76B8-4C8B-B5B2-AD73EBD85E04}">
  <dimension ref="B2:V21"/>
  <sheetViews>
    <sheetView zoomScale="70" zoomScaleNormal="70" workbookViewId="0">
      <selection activeCell="B21" sqref="B21"/>
    </sheetView>
  </sheetViews>
  <sheetFormatPr defaultColWidth="8.90625" defaultRowHeight="15" x14ac:dyDescent="0.2"/>
  <cols>
    <col min="1" max="1" width="8.90625" style="2"/>
    <col min="2" max="2" width="11.90625" style="2" bestFit="1" customWidth="1"/>
    <col min="3" max="3" width="3.453125" style="2" bestFit="1" customWidth="1"/>
    <col min="4" max="5" width="8.90625" style="2"/>
    <col min="6" max="6" width="12.453125" style="2" customWidth="1"/>
    <col min="7" max="7" width="5.6328125" style="2" bestFit="1" customWidth="1"/>
    <col min="8" max="20" width="10.453125" style="2" bestFit="1" customWidth="1"/>
    <col min="21" max="21" width="11.453125" style="2" bestFit="1" customWidth="1"/>
    <col min="22" max="22" width="5.6328125" style="2" bestFit="1" customWidth="1"/>
    <col min="23" max="16384" width="8.90625" style="2"/>
  </cols>
  <sheetData>
    <row r="2" spans="2:22" x14ac:dyDescent="0.2">
      <c r="H2" s="13" t="s">
        <v>133</v>
      </c>
      <c r="I2" s="13" t="s">
        <v>100</v>
      </c>
      <c r="J2" s="13" t="s">
        <v>155</v>
      </c>
      <c r="K2" s="13" t="s">
        <v>156</v>
      </c>
      <c r="L2" s="13" t="s">
        <v>157</v>
      </c>
      <c r="M2" s="13" t="s">
        <v>158</v>
      </c>
      <c r="N2" s="13" t="s">
        <v>159</v>
      </c>
      <c r="O2" s="13" t="s">
        <v>160</v>
      </c>
      <c r="P2" s="13" t="s">
        <v>161</v>
      </c>
      <c r="Q2" s="13" t="s">
        <v>162</v>
      </c>
      <c r="R2" s="13" t="s">
        <v>163</v>
      </c>
      <c r="S2" s="13" t="s">
        <v>164</v>
      </c>
      <c r="T2" s="13" t="s">
        <v>165</v>
      </c>
      <c r="U2" s="13" t="s">
        <v>166</v>
      </c>
      <c r="V2" s="13" t="s">
        <v>115</v>
      </c>
    </row>
    <row r="3" spans="2:22" x14ac:dyDescent="0.2">
      <c r="B3" s="2" t="s">
        <v>30</v>
      </c>
      <c r="C3" s="2" t="s">
        <v>60</v>
      </c>
      <c r="D3" s="2" t="str">
        <f>(弔事連絡票!E31)</f>
        <v>主務職</v>
      </c>
      <c r="F3" s="2" t="s">
        <v>167</v>
      </c>
      <c r="G3" s="2" t="s">
        <v>168</v>
      </c>
      <c r="H3" s="17">
        <v>100000</v>
      </c>
      <c r="I3" s="17">
        <v>50000</v>
      </c>
      <c r="J3" s="17">
        <v>50000</v>
      </c>
      <c r="K3" s="17">
        <v>50000</v>
      </c>
      <c r="L3" s="17">
        <v>50000</v>
      </c>
      <c r="M3" s="17">
        <v>20000</v>
      </c>
      <c r="N3" s="17">
        <v>20000</v>
      </c>
      <c r="O3" s="17">
        <v>20000</v>
      </c>
      <c r="P3" s="17">
        <v>20000</v>
      </c>
      <c r="Q3" s="17">
        <v>20000</v>
      </c>
      <c r="R3" s="17">
        <v>20000</v>
      </c>
      <c r="S3" s="17">
        <v>20000</v>
      </c>
      <c r="T3" s="17">
        <v>20000</v>
      </c>
      <c r="U3" s="17">
        <v>20000</v>
      </c>
      <c r="V3" s="17"/>
    </row>
    <row r="4" spans="2:22" x14ac:dyDescent="0.2">
      <c r="B4" s="2" t="s">
        <v>169</v>
      </c>
      <c r="C4" s="2" t="s">
        <v>60</v>
      </c>
      <c r="D4" s="2" t="str">
        <f>(弔事連絡票!N37)</f>
        <v>別居</v>
      </c>
      <c r="F4" s="2" t="s">
        <v>167</v>
      </c>
      <c r="G4" s="2" t="s">
        <v>170</v>
      </c>
      <c r="H4" s="17">
        <v>100000</v>
      </c>
      <c r="I4" s="17">
        <v>50000</v>
      </c>
      <c r="J4" s="17">
        <v>50000</v>
      </c>
      <c r="K4" s="17">
        <v>50000</v>
      </c>
      <c r="L4" s="17">
        <v>50000</v>
      </c>
      <c r="M4" s="17">
        <v>20000</v>
      </c>
      <c r="N4" s="17">
        <v>20000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20000</v>
      </c>
      <c r="V4" s="17"/>
    </row>
    <row r="5" spans="2:22" x14ac:dyDescent="0.2">
      <c r="B5" s="2" t="s">
        <v>171</v>
      </c>
      <c r="C5" s="2" t="s">
        <v>60</v>
      </c>
      <c r="D5" s="2" t="str">
        <f>(弔事連絡票!N38)</f>
        <v>実父</v>
      </c>
      <c r="F5" s="2" t="s">
        <v>172</v>
      </c>
      <c r="G5" s="2" t="s">
        <v>168</v>
      </c>
      <c r="H5" s="17">
        <v>100000</v>
      </c>
      <c r="I5" s="17">
        <v>50000</v>
      </c>
      <c r="J5" s="17">
        <v>50000</v>
      </c>
      <c r="K5" s="17">
        <v>50000</v>
      </c>
      <c r="L5" s="17">
        <v>50000</v>
      </c>
      <c r="M5" s="17">
        <v>20000</v>
      </c>
      <c r="N5" s="17">
        <v>20000</v>
      </c>
      <c r="O5" s="17">
        <v>20000</v>
      </c>
      <c r="P5" s="17">
        <v>20000</v>
      </c>
      <c r="Q5" s="17">
        <v>20000</v>
      </c>
      <c r="R5" s="17">
        <v>20000</v>
      </c>
      <c r="S5" s="17">
        <v>20000</v>
      </c>
      <c r="T5" s="17">
        <v>20000</v>
      </c>
      <c r="U5" s="17">
        <v>20000</v>
      </c>
      <c r="V5" s="17"/>
    </row>
    <row r="6" spans="2:22" x14ac:dyDescent="0.2">
      <c r="F6" s="2" t="s">
        <v>172</v>
      </c>
      <c r="G6" s="2" t="s">
        <v>170</v>
      </c>
      <c r="H6" s="17">
        <v>100000</v>
      </c>
      <c r="I6" s="17">
        <v>50000</v>
      </c>
      <c r="J6" s="17">
        <v>50000</v>
      </c>
      <c r="K6" s="17">
        <v>50000</v>
      </c>
      <c r="L6" s="17">
        <v>50000</v>
      </c>
      <c r="M6" s="17">
        <v>20000</v>
      </c>
      <c r="N6" s="17">
        <v>20000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20000</v>
      </c>
      <c r="V6" s="17"/>
    </row>
    <row r="7" spans="2:22" x14ac:dyDescent="0.2">
      <c r="F7" s="2" t="s">
        <v>123</v>
      </c>
      <c r="G7" s="2" t="s">
        <v>168</v>
      </c>
      <c r="H7" s="17">
        <v>300000</v>
      </c>
      <c r="I7" s="17">
        <v>200000</v>
      </c>
      <c r="J7" s="17">
        <v>200000</v>
      </c>
      <c r="K7" s="17">
        <v>100000</v>
      </c>
      <c r="L7" s="17">
        <v>100000</v>
      </c>
      <c r="M7" s="17">
        <v>50000</v>
      </c>
      <c r="N7" s="17">
        <v>50000</v>
      </c>
      <c r="O7" s="17">
        <v>50000</v>
      </c>
      <c r="P7" s="17">
        <v>50000</v>
      </c>
      <c r="Q7" s="17">
        <v>50000</v>
      </c>
      <c r="R7" s="17">
        <v>50000</v>
      </c>
      <c r="S7" s="17">
        <v>50000</v>
      </c>
      <c r="T7" s="17">
        <v>50000</v>
      </c>
      <c r="U7" s="17">
        <v>30000</v>
      </c>
      <c r="V7" s="17"/>
    </row>
    <row r="8" spans="2:22" x14ac:dyDescent="0.2">
      <c r="F8" s="2" t="s">
        <v>123</v>
      </c>
      <c r="G8" s="2" t="s">
        <v>170</v>
      </c>
      <c r="H8" s="17">
        <v>300000</v>
      </c>
      <c r="I8" s="17">
        <v>200000</v>
      </c>
      <c r="J8" s="17">
        <v>200000</v>
      </c>
      <c r="K8" s="17">
        <v>100000</v>
      </c>
      <c r="L8" s="17">
        <v>100000</v>
      </c>
      <c r="M8" s="17">
        <v>50000</v>
      </c>
      <c r="N8" s="17">
        <v>50000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30000</v>
      </c>
      <c r="V8" s="17"/>
    </row>
    <row r="9" spans="2:22" x14ac:dyDescent="0.2">
      <c r="F9" s="2" t="s">
        <v>114</v>
      </c>
      <c r="G9" s="2" t="s">
        <v>168</v>
      </c>
      <c r="H9" s="17">
        <v>500000</v>
      </c>
      <c r="I9" s="17">
        <v>300000</v>
      </c>
      <c r="J9" s="17">
        <v>300000</v>
      </c>
      <c r="K9" s="17">
        <v>150000</v>
      </c>
      <c r="L9" s="17">
        <v>150000</v>
      </c>
      <c r="M9" s="17">
        <v>100000</v>
      </c>
      <c r="N9" s="17">
        <v>100000</v>
      </c>
      <c r="O9" s="17">
        <v>100000</v>
      </c>
      <c r="P9" s="17">
        <v>100000</v>
      </c>
      <c r="Q9" s="17">
        <v>100000</v>
      </c>
      <c r="R9" s="17">
        <v>100000</v>
      </c>
      <c r="S9" s="17">
        <v>100000</v>
      </c>
      <c r="T9" s="17">
        <v>100000</v>
      </c>
      <c r="U9" s="17">
        <v>30000</v>
      </c>
      <c r="V9" s="17"/>
    </row>
    <row r="10" spans="2:22" x14ac:dyDescent="0.2">
      <c r="F10" s="2" t="s">
        <v>114</v>
      </c>
      <c r="G10" s="2" t="s">
        <v>170</v>
      </c>
      <c r="H10" s="17">
        <v>500000</v>
      </c>
      <c r="I10" s="17">
        <v>300000</v>
      </c>
      <c r="J10" s="17">
        <v>300000</v>
      </c>
      <c r="K10" s="17">
        <v>150000</v>
      </c>
      <c r="L10" s="17">
        <v>150000</v>
      </c>
      <c r="M10" s="17">
        <v>100000</v>
      </c>
      <c r="N10" s="17">
        <v>100000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30000</v>
      </c>
      <c r="V10" s="17"/>
    </row>
    <row r="11" spans="2:22" x14ac:dyDescent="0.2">
      <c r="F11" s="2" t="s">
        <v>173</v>
      </c>
      <c r="G11" s="2" t="s">
        <v>168</v>
      </c>
      <c r="H11" s="17">
        <v>100000</v>
      </c>
      <c r="I11" s="17">
        <v>50000</v>
      </c>
      <c r="J11" s="17">
        <v>50000</v>
      </c>
      <c r="K11" s="17">
        <v>50000</v>
      </c>
      <c r="L11" s="17">
        <v>50000</v>
      </c>
      <c r="M11" s="17">
        <v>20000</v>
      </c>
      <c r="N11" s="17">
        <v>20000</v>
      </c>
      <c r="O11" s="17">
        <v>20000</v>
      </c>
      <c r="P11" s="17">
        <v>20000</v>
      </c>
      <c r="Q11" s="17">
        <v>20000</v>
      </c>
      <c r="R11" s="17">
        <v>20000</v>
      </c>
      <c r="S11" s="17">
        <v>20000</v>
      </c>
      <c r="T11" s="17">
        <v>20000</v>
      </c>
      <c r="U11" s="17">
        <v>20000</v>
      </c>
      <c r="V11" s="17"/>
    </row>
    <row r="12" spans="2:22" x14ac:dyDescent="0.2">
      <c r="F12" s="2" t="s">
        <v>173</v>
      </c>
      <c r="G12" s="2" t="s">
        <v>170</v>
      </c>
      <c r="H12" s="17">
        <v>100000</v>
      </c>
      <c r="I12" s="17">
        <v>50000</v>
      </c>
      <c r="J12" s="17">
        <v>50000</v>
      </c>
      <c r="K12" s="17">
        <v>50000</v>
      </c>
      <c r="L12" s="17">
        <v>50000</v>
      </c>
      <c r="M12" s="17">
        <v>20000</v>
      </c>
      <c r="N12" s="17">
        <v>20000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20000</v>
      </c>
      <c r="V12" s="17"/>
    </row>
    <row r="13" spans="2:22" x14ac:dyDescent="0.2">
      <c r="F13" s="2" t="s">
        <v>174</v>
      </c>
      <c r="G13" s="2" t="s">
        <v>168</v>
      </c>
      <c r="H13" s="17">
        <v>30000</v>
      </c>
      <c r="I13" s="17">
        <v>15000</v>
      </c>
      <c r="J13" s="17">
        <v>15000</v>
      </c>
      <c r="K13" s="17">
        <v>15000</v>
      </c>
      <c r="L13" s="17">
        <v>15000</v>
      </c>
      <c r="M13" s="17">
        <v>10000</v>
      </c>
      <c r="N13" s="17">
        <v>10000</v>
      </c>
      <c r="O13" s="17">
        <v>5000</v>
      </c>
      <c r="P13" s="17">
        <v>5000</v>
      </c>
      <c r="Q13" s="17">
        <v>5000</v>
      </c>
      <c r="R13" s="17">
        <v>5000</v>
      </c>
      <c r="S13" s="17">
        <v>5000</v>
      </c>
      <c r="T13" s="17">
        <v>5000</v>
      </c>
      <c r="U13" s="17">
        <v>0</v>
      </c>
      <c r="V13" s="17"/>
    </row>
    <row r="14" spans="2:22" x14ac:dyDescent="0.2">
      <c r="F14" s="2" t="s">
        <v>174</v>
      </c>
      <c r="G14" s="2" t="s">
        <v>170</v>
      </c>
      <c r="H14" s="17">
        <v>30000</v>
      </c>
      <c r="I14" s="17">
        <v>15000</v>
      </c>
      <c r="J14" s="17">
        <v>15000</v>
      </c>
      <c r="K14" s="17">
        <v>15000</v>
      </c>
      <c r="L14" s="17">
        <v>15000</v>
      </c>
      <c r="M14" s="17">
        <v>10000</v>
      </c>
      <c r="N14" s="17">
        <v>10000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/>
    </row>
    <row r="15" spans="2:22" x14ac:dyDescent="0.2">
      <c r="F15" s="2" t="s">
        <v>175</v>
      </c>
      <c r="G15" s="2" t="s">
        <v>168</v>
      </c>
      <c r="H15" s="17">
        <v>30000</v>
      </c>
      <c r="I15" s="17">
        <v>15000</v>
      </c>
      <c r="J15" s="17">
        <v>15000</v>
      </c>
      <c r="K15" s="17">
        <v>15000</v>
      </c>
      <c r="L15" s="17">
        <v>15000</v>
      </c>
      <c r="M15" s="17">
        <v>10000</v>
      </c>
      <c r="N15" s="17">
        <v>10000</v>
      </c>
      <c r="O15" s="17">
        <v>5000</v>
      </c>
      <c r="P15" s="17">
        <v>5000</v>
      </c>
      <c r="Q15" s="17">
        <v>5000</v>
      </c>
      <c r="R15" s="17">
        <v>5000</v>
      </c>
      <c r="S15" s="17">
        <v>5000</v>
      </c>
      <c r="T15" s="17">
        <v>5000</v>
      </c>
      <c r="U15" s="17">
        <v>0</v>
      </c>
      <c r="V15" s="17"/>
    </row>
    <row r="16" spans="2:22" x14ac:dyDescent="0.2">
      <c r="F16" s="2" t="s">
        <v>175</v>
      </c>
      <c r="G16" s="2" t="s">
        <v>170</v>
      </c>
      <c r="H16" s="17">
        <v>30000</v>
      </c>
      <c r="I16" s="17">
        <v>15000</v>
      </c>
      <c r="J16" s="17">
        <v>15000</v>
      </c>
      <c r="K16" s="17">
        <v>15000</v>
      </c>
      <c r="L16" s="17">
        <v>15000</v>
      </c>
      <c r="M16" s="17">
        <v>10000</v>
      </c>
      <c r="N16" s="17">
        <v>10000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/>
    </row>
    <row r="17" spans="2:22" x14ac:dyDescent="0.2">
      <c r="F17" s="2" t="s">
        <v>176</v>
      </c>
      <c r="G17" s="2" t="s">
        <v>168</v>
      </c>
      <c r="H17" s="17">
        <v>100000</v>
      </c>
      <c r="I17" s="17">
        <v>50000</v>
      </c>
      <c r="J17" s="17">
        <v>50000</v>
      </c>
      <c r="K17" s="17">
        <v>50000</v>
      </c>
      <c r="L17" s="17">
        <v>50000</v>
      </c>
      <c r="M17" s="17">
        <v>20000</v>
      </c>
      <c r="N17" s="17">
        <v>20000</v>
      </c>
      <c r="O17" s="17">
        <v>20000</v>
      </c>
      <c r="P17" s="17">
        <v>20000</v>
      </c>
      <c r="Q17" s="17">
        <v>20000</v>
      </c>
      <c r="R17" s="17">
        <v>20000</v>
      </c>
      <c r="S17" s="17">
        <v>20000</v>
      </c>
      <c r="T17" s="17">
        <v>20000</v>
      </c>
      <c r="U17" s="17">
        <v>20000</v>
      </c>
      <c r="V17" s="17"/>
    </row>
    <row r="18" spans="2:22" x14ac:dyDescent="0.2">
      <c r="F18" s="2" t="s">
        <v>176</v>
      </c>
      <c r="G18" s="2" t="s">
        <v>170</v>
      </c>
      <c r="H18" s="17">
        <v>100000</v>
      </c>
      <c r="I18" s="17">
        <v>50000</v>
      </c>
      <c r="J18" s="17">
        <v>50000</v>
      </c>
      <c r="K18" s="17">
        <v>50000</v>
      </c>
      <c r="L18" s="17">
        <v>50000</v>
      </c>
      <c r="M18" s="17">
        <v>20000</v>
      </c>
      <c r="N18" s="17">
        <v>20000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20000</v>
      </c>
      <c r="V18" s="17"/>
    </row>
    <row r="19" spans="2:22" x14ac:dyDescent="0.2">
      <c r="F19" s="2" t="s">
        <v>177</v>
      </c>
      <c r="G19" s="2" t="s">
        <v>168</v>
      </c>
      <c r="H19" s="17">
        <v>30000</v>
      </c>
      <c r="I19" s="17">
        <v>15000</v>
      </c>
      <c r="J19" s="17">
        <v>15000</v>
      </c>
      <c r="K19" s="17">
        <v>15000</v>
      </c>
      <c r="L19" s="17">
        <v>15000</v>
      </c>
      <c r="M19" s="17">
        <v>10000</v>
      </c>
      <c r="N19" s="17">
        <v>10000</v>
      </c>
      <c r="O19" s="17">
        <v>5000</v>
      </c>
      <c r="P19" s="17">
        <v>5000</v>
      </c>
      <c r="Q19" s="17">
        <v>5000</v>
      </c>
      <c r="R19" s="17">
        <v>5000</v>
      </c>
      <c r="S19" s="17">
        <v>5000</v>
      </c>
      <c r="T19" s="17">
        <v>5000</v>
      </c>
      <c r="U19" s="17">
        <v>0</v>
      </c>
      <c r="V19" s="17"/>
    </row>
    <row r="20" spans="2:22" x14ac:dyDescent="0.2">
      <c r="F20" s="2" t="s">
        <v>177</v>
      </c>
      <c r="G20" s="2" t="s">
        <v>170</v>
      </c>
      <c r="H20" s="17">
        <v>30000</v>
      </c>
      <c r="I20" s="17">
        <v>15000</v>
      </c>
      <c r="J20" s="17">
        <v>15000</v>
      </c>
      <c r="K20" s="17">
        <v>15000</v>
      </c>
      <c r="L20" s="17">
        <v>15000</v>
      </c>
      <c r="M20" s="17">
        <v>10000</v>
      </c>
      <c r="N20" s="17">
        <v>10000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/>
    </row>
    <row r="21" spans="2:22" x14ac:dyDescent="0.2">
      <c r="B21" s="18" cm="1">
        <f t="array" ref="B21">INDEX(H3:V20,MATCH(D3&amp;D4,INDEX(F3:F20&amp;G3:G20,0),0),MATCH(D5,H2:V2,0))</f>
        <v>50000</v>
      </c>
    </row>
  </sheetData>
  <sheetProtection algorithmName="SHA-512" hashValue="kgSpmU6YzzpFldLBbEjFH+Dkb2WYWR1Xvrydggdvan7+CRA0AR5HuUDiM6++JAmn3JrMFbZBiNWaSfI64eziBg==" saltValue="FzZ9tnmWx5lVrt0crl9GZg==" spinCount="100000" sheet="1" objects="1" scenarios="1"/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e352a2-0d65-4c30-8411-2e48e35ca667">
      <UserInfo>
        <DisplayName>Iwata Michihiro (岩田 道宏)</DisplayName>
        <AccountId>321</AccountId>
        <AccountType/>
      </UserInfo>
      <UserInfo>
        <DisplayName>Tanaka Kazuo (田中 一男)</DisplayName>
        <AccountId>55</AccountId>
        <AccountType/>
      </UserInfo>
      <UserInfo>
        <DisplayName>SHIMA KEIKO (島 圭子)</DisplayName>
        <AccountId>45</AccountId>
        <AccountType/>
      </UserInfo>
    </SharedWithUsers>
    <TaxCatchAll xmlns="efe352a2-0d65-4c30-8411-2e48e35ca667" xsi:nil="true"/>
    <lcf76f155ced4ddcb4097134ff3c332f xmlns="59bda25e-ce8f-45c3-bdd2-b416842d98ca">
      <Terms xmlns="http://schemas.microsoft.com/office/infopath/2007/PartnerControls"/>
    </lcf76f155ced4ddcb4097134ff3c332f>
    <MediaLengthInSeconds xmlns="59bda25e-ce8f-45c3-bdd2-b416842d98ca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A20011DF1AE4D863B34249A6BEEC3" ma:contentTypeVersion="16" ma:contentTypeDescription="新しいドキュメントを作成します。" ma:contentTypeScope="" ma:versionID="7c6cb355ce7c1401b974a0c041b6e2b2">
  <xsd:schema xmlns:xsd="http://www.w3.org/2001/XMLSchema" xmlns:xs="http://www.w3.org/2001/XMLSchema" xmlns:p="http://schemas.microsoft.com/office/2006/metadata/properties" xmlns:ns2="59bda25e-ce8f-45c3-bdd2-b416842d98ca" xmlns:ns3="efe352a2-0d65-4c30-8411-2e48e35ca667" targetNamespace="http://schemas.microsoft.com/office/2006/metadata/properties" ma:root="true" ma:fieldsID="47757372ce4e7e25078301b86e8c0dd5" ns2:_="" ns3:_="">
    <xsd:import namespace="59bda25e-ce8f-45c3-bdd2-b416842d98ca"/>
    <xsd:import namespace="efe352a2-0d65-4c30-8411-2e48e35ca6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da25e-ce8f-45c3-bdd2-b416842d9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ce391acf-b2a8-4a1c-9c03-161b1cee9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352a2-0d65-4c30-8411-2e48e35ca6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6a0185-ad29-44e3-bcb7-730b0baf6858}" ma:internalName="TaxCatchAll" ma:showField="CatchAllData" ma:web="efe352a2-0d65-4c30-8411-2e48e35ca6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A36F1F-7149-455C-8528-838C44C1D7F1}">
  <ds:schemaRefs>
    <ds:schemaRef ds:uri="http://purl.org/dc/terms/"/>
    <ds:schemaRef ds:uri="0dcff8d5-112a-41c0-abe2-36f4f8f0530a"/>
    <ds:schemaRef ds:uri="http://schemas.microsoft.com/office/2006/metadata/properties"/>
    <ds:schemaRef ds:uri="http://www.w3.org/XML/1998/namespace"/>
    <ds:schemaRef ds:uri="33573c9b-5e97-4e06-992c-b95921b09b4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fe352a2-0d65-4c30-8411-2e48e35ca667"/>
    <ds:schemaRef ds:uri="59bda25e-ce8f-45c3-bdd2-b416842d98ca"/>
  </ds:schemaRefs>
</ds:datastoreItem>
</file>

<file path=customXml/itemProps2.xml><?xml version="1.0" encoding="utf-8"?>
<ds:datastoreItem xmlns:ds="http://schemas.openxmlformats.org/officeDocument/2006/customXml" ds:itemID="{56FE15B1-3B87-4617-8167-7FFF216E33B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67AB0AA-2C81-40EF-B06F-CA0EF4219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da25e-ce8f-45c3-bdd2-b416842d98ca"/>
    <ds:schemaRef ds:uri="efe352a2-0d65-4c30-8411-2e48e35ca6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A71DF34-F32A-4D25-8A71-0D3F8BF04D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12</vt:i4>
      </vt:variant>
    </vt:vector>
  </HeadingPairs>
  <TitlesOfParts>
    <vt:vector size="17" baseType="lpstr">
      <vt:lpstr>Sheet1</vt:lpstr>
      <vt:lpstr>弔事連絡票</vt:lpstr>
      <vt:lpstr>記入例</vt:lpstr>
      <vt:lpstr>規定</vt:lpstr>
      <vt:lpstr>【M】香典額</vt:lpstr>
      <vt:lpstr>①</vt:lpstr>
      <vt:lpstr>②</vt:lpstr>
      <vt:lpstr>③</vt:lpstr>
      <vt:lpstr>④</vt:lpstr>
      <vt:lpstr>⑤</vt:lpstr>
      <vt:lpstr>⑥</vt:lpstr>
      <vt:lpstr>記入例!Print_Area</vt:lpstr>
      <vt:lpstr>弔事連絡票!Print_Area</vt:lpstr>
      <vt:lpstr>ソリューションエンジニアリング本部</vt:lpstr>
      <vt:lpstr>マーケティング本部</vt:lpstr>
      <vt:lpstr>ライティング事業部</vt:lpstr>
      <vt:lpstr>直轄部門</vt:lpstr>
    </vt:vector>
  </TitlesOfParts>
  <Manager/>
  <Company>パナソニック　AP社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AP社</dc:creator>
  <cp:keywords/>
  <dc:description/>
  <cp:lastModifiedBy>Kawahara Tsuyoshi (川原 剛)</cp:lastModifiedBy>
  <cp:revision/>
  <cp:lastPrinted>2024-05-15T09:06:27Z</cp:lastPrinted>
  <dcterms:created xsi:type="dcterms:W3CDTF">2015-04-07T10:22:54Z</dcterms:created>
  <dcterms:modified xsi:type="dcterms:W3CDTF">2025-11-06T01:37:22Z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0x01010063BA20011DF1AE4D863B34249A6BEEC3</vt:lpwstr>
  </property>
  <property fmtid="{D5CDD505-2E9C-101B-9397-08002B2CF9AE}" pid="3" name="MediaServiceImageTags">
    <vt:lpwstr/>
  </property>
  <property fmtid="{D5CDD505-2E9C-101B-9397-08002B2CF9AE}" pid="4" name="Order">
    <vt:r8>46989200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